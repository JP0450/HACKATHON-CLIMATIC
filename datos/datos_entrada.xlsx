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yeres\Desktop\CARRERA\VUELTAS_MIAS\SEMILLERO\hackathones\climaticbase\sistema\modelo_cornare\datos\"/>
    </mc:Choice>
  </mc:AlternateContent>
  <xr:revisionPtr revIDLastSave="0" documentId="13_ncr:1_{C0330841-FE58-4DFD-A472-8EB8A08CC010}" xr6:coauthVersionLast="47" xr6:coauthVersionMax="47" xr10:uidLastSave="{00000000-0000-0000-0000-000000000000}"/>
  <bookViews>
    <workbookView xWindow="2688" yWindow="2688" windowWidth="17280" windowHeight="8880" tabRatio="500" firstSheet="3" activeTab="6" xr2:uid="{00000000-000D-0000-FFFF-FFFF00000000}"/>
  </bookViews>
  <sheets>
    <sheet name="LEEME" sheetId="1" r:id="rId1"/>
    <sheet name="Ficha_dimensiones" sheetId="2" r:id="rId2"/>
    <sheet name="Promedios_regionales" sheetId="3" r:id="rId3"/>
    <sheet name="Medidas" sheetId="4" r:id="rId4"/>
    <sheet name="Evidencia" sheetId="5" r:id="rId5"/>
    <sheet name="Pesos" sheetId="6" r:id="rId6"/>
    <sheet name="Parametro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6" l="1"/>
  <c r="D9" i="6" s="1"/>
  <c r="E7" i="6"/>
  <c r="E6" i="6"/>
  <c r="E5" i="6"/>
  <c r="E4" i="6"/>
  <c r="E3" i="6"/>
  <c r="E2" i="6"/>
  <c r="E8" i="6" s="1"/>
  <c r="E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2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[OFICIAL] Reto CORNARE (RETO_CLIMATE_WEEK_HACKATHON_1.pdf), sec. 2. Categoría: Muy baja.</t>
        </r>
      </text>
    </comment>
    <comment ref="F2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[OFICIAL] Reto CORNARE (RETO_CLIMATE_WEEK_HACKATHON_1.pdf), sec. 2. Categoría: Muy alta.</t>
        </r>
      </text>
    </comment>
    <comment ref="D7" authorId="0" shapeId="0" xr:uid="{00000000-0006-0000-0100-000003000000}">
      <text>
        <r>
          <rPr>
            <sz val="11"/>
            <color theme="1"/>
            <rFont val="Calibri"/>
            <family val="2"/>
            <charset val="1"/>
          </rPr>
          <t>[OFICIAL] Reto CORNARE (RETO_CLIMATE_WEEK_HACKATHON_1.pdf), sec. 2. Categoría: la mayor sensibilidad de esta dimensión en la regional.</t>
        </r>
      </text>
    </comment>
    <comment ref="E7" authorId="0" shapeId="0" xr:uid="{00000000-0006-0000-0100-000004000000}">
      <text>
        <r>
          <rPr>
            <sz val="11"/>
            <color theme="1"/>
            <rFont val="Calibri"/>
            <family val="2"/>
            <charset val="1"/>
          </rPr>
          <t>[OFICIAL] Reto CORNARE (RETO_CLIMATE_WEEK_HACKATHON_1.pdf), sec. 2. Categoría: relativamente favorable.</t>
        </r>
      </text>
    </comment>
    <comment ref="G7" authorId="0" shapeId="0" xr:uid="{00000000-0006-0000-0100-000005000000}">
      <text>
        <r>
          <rPr>
            <sz val="11"/>
            <color theme="1"/>
            <rFont val="Calibri"/>
            <family val="2"/>
            <charset val="1"/>
          </rPr>
          <t>[OFICIAL] Reto CORNARE (RETO_CLIMATE_WEEK_HACKATHON_1.pdf), sec. 2. Categoría: Bajo.</t>
        </r>
      </text>
    </comment>
    <comment ref="H7" authorId="0" shapeId="0" xr:uid="{00000000-0006-0000-0100-000006000000}">
      <text>
        <r>
          <rPr>
            <sz val="11"/>
            <color theme="1"/>
            <rFont val="Calibri"/>
            <family val="2"/>
            <charset val="1"/>
          </rPr>
          <t>[OFICIAL] Reto CORNARE (RETO_CLIMATE_WEEK_HACKATHON_1.pdf), sec. 2. Categoría: Medio.</t>
        </r>
      </text>
    </comment>
    <comment ref="E9" authorId="0" shapeId="0" xr:uid="{00000000-0006-0000-0100-000007000000}">
      <text>
        <r>
          <rPr>
            <sz val="11"/>
            <color theme="1"/>
            <rFont val="Calibri"/>
            <family val="2"/>
            <charset val="1"/>
          </rPr>
          <t>[OFICIAL] Reto CORNARE (RETO_CLIMATE_WEEK_HACKATHON_1.pdf), sec. 2. Categoría: Baja.</t>
        </r>
      </text>
    </comment>
    <comment ref="E16" authorId="0" shapeId="0" xr:uid="{00000000-0006-0000-0100-000008000000}">
      <text>
        <r>
          <rPr>
            <sz val="11"/>
            <color theme="1"/>
            <rFont val="Calibri"/>
            <family val="2"/>
            <charset val="1"/>
          </rPr>
          <t>[OFICIAL] Reto CORNARE (RETO_CLIMATE_WEEK_HACKATHON_1.pdf), sec. 2. Categoría: Muy baja.</t>
        </r>
      </text>
    </comment>
    <comment ref="F16" authorId="0" shapeId="0" xr:uid="{00000000-0006-0000-0100-000009000000}">
      <text>
        <r>
          <rPr>
            <sz val="11"/>
            <color theme="1"/>
            <rFont val="Calibri"/>
            <family val="2"/>
            <charset val="1"/>
          </rPr>
          <t>[OFICIAL] Reto CORNARE (RETO_CLIMATE_WEEK_HACKATHON_1.pdf), sec. 2. Categoría: Muy alta.</t>
        </r>
      </text>
    </comment>
    <comment ref="C21" authorId="0" shapeId="0" xr:uid="{00000000-0006-0000-0100-00000A000000}">
      <text>
        <r>
          <rPr>
            <sz val="11"/>
            <color theme="1"/>
            <rFont val="Calibri"/>
            <family val="2"/>
            <charset val="1"/>
          </rPr>
          <t>[CALCULADO] punto medio del rango oficial 0,66–0,73 (Alta). Reto CORNARE (RETO_CLIMATE_WEEK_HACKATHON_1.pdf), sec. 2.</t>
        </r>
      </text>
    </comment>
    <comment ref="E21" authorId="0" shapeId="0" xr:uid="{00000000-0006-0000-0100-00000B000000}">
      <text>
        <r>
          <rPr>
            <sz val="11"/>
            <color theme="1"/>
            <rFont val="Calibri"/>
            <family val="2"/>
            <charset val="1"/>
          </rPr>
          <t>[OFICIAL] Reto CORNARE (RETO_CLIMATE_WEEK_HACKATHON_1.pdf), sec. 2. Categoría: relativamente favorable.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2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[OFICIAL] Reto sec. 6: costo de referencia homogéneo e indivisible.</t>
        </r>
      </text>
    </comment>
    <comment ref="E3" authorId="0" shapeId="0" xr:uid="{00000000-0006-0000-0300-000002000000}">
      <text>
        <r>
          <rPr>
            <sz val="11"/>
            <color theme="1"/>
            <rFont val="Calibri"/>
            <family val="2"/>
            <charset val="1"/>
          </rPr>
          <t>[OFICIAL] Reto sec. 6: costo de referencia homogéneo e indivisible.</t>
        </r>
      </text>
    </comment>
    <comment ref="E4" authorId="0" shapeId="0" xr:uid="{00000000-0006-0000-0300-000003000000}">
      <text>
        <r>
          <rPr>
            <sz val="11"/>
            <color theme="1"/>
            <rFont val="Calibri"/>
            <family val="2"/>
            <charset val="1"/>
          </rPr>
          <t>[OFICIAL] Reto sec. 6: costo de referencia homogéneo e indivisible.</t>
        </r>
      </text>
    </comment>
    <comment ref="E5" authorId="0" shapeId="0" xr:uid="{00000000-0006-0000-0300-000004000000}">
      <text>
        <r>
          <rPr>
            <sz val="11"/>
            <color theme="1"/>
            <rFont val="Calibri"/>
            <family val="2"/>
            <charset val="1"/>
          </rPr>
          <t>[OFICIAL] Reto sec. 6: costo de referencia homogéneo e indivisible.</t>
        </r>
      </text>
    </comment>
    <comment ref="E6" authorId="0" shapeId="0" xr:uid="{00000000-0006-0000-0300-000005000000}">
      <text>
        <r>
          <rPr>
            <sz val="11"/>
            <color theme="1"/>
            <rFont val="Calibri"/>
            <family val="2"/>
            <charset val="1"/>
          </rPr>
          <t>[OFICIAL] Reto sec. 6: costo de referencia homogéneo e indivisible.</t>
        </r>
      </text>
    </comment>
    <comment ref="E7" authorId="0" shapeId="0" xr:uid="{00000000-0006-0000-0300-000006000000}">
      <text>
        <r>
          <rPr>
            <sz val="11"/>
            <color theme="1"/>
            <rFont val="Calibri"/>
            <family val="2"/>
            <charset val="1"/>
          </rPr>
          <t>[OFICIAL] Reto sec. 6: costo de referencia homogéneo e indivisible.</t>
        </r>
      </text>
    </comment>
    <comment ref="E8" authorId="0" shapeId="0" xr:uid="{00000000-0006-0000-0300-000007000000}">
      <text>
        <r>
          <rPr>
            <sz val="11"/>
            <color theme="1"/>
            <rFont val="Calibri"/>
            <family val="2"/>
            <charset val="1"/>
          </rPr>
          <t>[OFICIAL] Reto sec. 6: costo de referencia homogéneo e indivisible.</t>
        </r>
      </text>
    </comment>
    <comment ref="E9" authorId="0" shapeId="0" xr:uid="{00000000-0006-0000-0300-000008000000}">
      <text>
        <r>
          <rPr>
            <sz val="11"/>
            <color theme="1"/>
            <rFont val="Calibri"/>
            <family val="2"/>
            <charset val="1"/>
          </rPr>
          <t>[OFICIAL] Reto sec. 6: costo de referencia homogéneo e indivisible.</t>
        </r>
      </text>
    </comment>
    <comment ref="E10" authorId="0" shapeId="0" xr:uid="{00000000-0006-0000-0300-000009000000}">
      <text>
        <r>
          <rPr>
            <sz val="11"/>
            <color theme="1"/>
            <rFont val="Calibri"/>
            <family val="2"/>
            <charset val="1"/>
          </rPr>
          <t>[OFICIAL] Reto sec. 6: costo de referencia homogéneo e indivisible.</t>
        </r>
      </text>
    </comment>
    <comment ref="E11" authorId="0" shapeId="0" xr:uid="{00000000-0006-0000-0300-00000A000000}">
      <text>
        <r>
          <rPr>
            <sz val="11"/>
            <color theme="1"/>
            <rFont val="Calibri"/>
            <family val="2"/>
            <charset val="1"/>
          </rPr>
          <t>[OFICIAL] Reto sec. 6: costo de referencia homogéneo e indivisible.</t>
        </r>
      </text>
    </comment>
    <comment ref="E12" authorId="0" shapeId="0" xr:uid="{00000000-0006-0000-0300-00000B000000}">
      <text>
        <r>
          <rPr>
            <sz val="11"/>
            <color theme="1"/>
            <rFont val="Calibri"/>
            <family val="2"/>
            <charset val="1"/>
          </rPr>
          <t>[OFICIAL] Reto sec. 6: costo de referencia homogéneo e indivisible.</t>
        </r>
      </text>
    </comment>
    <comment ref="E13" authorId="0" shapeId="0" xr:uid="{00000000-0006-0000-0300-00000C000000}">
      <text>
        <r>
          <rPr>
            <sz val="11"/>
            <color theme="1"/>
            <rFont val="Calibri"/>
            <family val="2"/>
            <charset val="1"/>
          </rPr>
          <t>[OFICIAL] Reto sec. 6: costo de referencia homogéneo e indivisible.</t>
        </r>
      </text>
    </comment>
    <comment ref="E14" authorId="0" shapeId="0" xr:uid="{00000000-0006-0000-0300-00000D000000}">
      <text>
        <r>
          <rPr>
            <sz val="11"/>
            <color theme="1"/>
            <rFont val="Calibri"/>
            <family val="2"/>
            <charset val="1"/>
          </rPr>
          <t>[OFICIAL] Reto sec. 6: costo de referencia homogéneo e indivisible.</t>
        </r>
      </text>
    </comment>
    <comment ref="E15" authorId="0" shapeId="0" xr:uid="{00000000-0006-0000-0300-00000E000000}">
      <text>
        <r>
          <rPr>
            <sz val="11"/>
            <color theme="1"/>
            <rFont val="Calibri"/>
            <family val="2"/>
            <charset val="1"/>
          </rPr>
          <t>[OFICIAL] Reto sec. 6: costo de referencia homogéneo e indivisible.</t>
        </r>
      </text>
    </comment>
    <comment ref="E16" authorId="0" shapeId="0" xr:uid="{00000000-0006-0000-0300-00000F000000}">
      <text>
        <r>
          <rPr>
            <sz val="11"/>
            <color theme="1"/>
            <rFont val="Calibri"/>
            <family val="2"/>
            <charset val="1"/>
          </rPr>
          <t>[OFICIAL] Reto sec. 6: costo de referencia homogéneo e indivisible.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1" authorId="0" shapeId="0" xr:uid="{00000000-0006-0000-0500-000001000000}">
      <text>
        <r>
          <rPr>
            <sz val="11"/>
            <color theme="1"/>
            <rFont val="Calibri"/>
            <family val="2"/>
            <charset val="1"/>
          </rPr>
          <t>[SUPUESTO] acordado por el equipo. Los otros cinco criterios bajan en la misma proporción para que la suma siga en 100%.</t>
        </r>
      </text>
    </comment>
  </commentList>
</comments>
</file>

<file path=xl/sharedStrings.xml><?xml version="1.0" encoding="utf-8"?>
<sst xmlns="http://schemas.openxmlformats.org/spreadsheetml/2006/main" count="554" uniqueCount="270">
  <si>
    <t>Datos de entrada — Motor de decisión de adaptación (Rionegro · Guarne · Marinilla)</t>
  </si>
  <si>
    <t>Para qué sirve</t>
  </si>
  <si>
    <t>Contiene TODO lo que el motor necesita. Si cambia un valor aquí y vuelve a ejecutar el motor, el portafolio se recalcula.</t>
  </si>
  <si>
    <t>Qué se edita</t>
  </si>
  <si>
    <t>Solo las celdas AMARILLAS (vacías = dato no disponible) y los valores en AZUL (pesos y parámetros). Las celdas verdes son datos oficiales de CORNARE.</t>
  </si>
  <si>
    <t>Celda vacía</t>
  </si>
  <si>
    <t>Significa NO DISPONIBLE. El motor nunca la rellena con un valor 'real': la marca, prueba todos los valores posibles (0 a 1) y avisa si ese dato podría cambiar la decisión.</t>
  </si>
  <si>
    <t>Al llenar una celda</t>
  </si>
  <si>
    <t>Escriba el valor (0 a 1) y anote la fuente en la columna 'Fuente de datos ingresados' de esa fila. El motor la tratará como dato ingresado por el usuario.</t>
  </si>
  <si>
    <t>Colores</t>
  </si>
  <si>
    <t>Verde</t>
  </si>
  <si>
    <t>[OFICIAL] dato tomado de una fuente CORNARE (la fuente está en el comentario de la celda).</t>
  </si>
  <si>
    <t>Amarillo</t>
  </si>
  <si>
    <t>[NO DISPONIBLE] entrada para el usuario.</t>
  </si>
  <si>
    <t>Naranja</t>
  </si>
  <si>
    <t>[CALCULADO] o [SUPUESTO] — operación o decisión del equipo, explicada en el comentario.</t>
  </si>
  <si>
    <t>Texto azul</t>
  </si>
  <si>
    <t>Parámetro editable (pesos, presupuesto, reglas).</t>
  </si>
  <si>
    <t>Hojas</t>
  </si>
  <si>
    <t>Ficha_dimensiones</t>
  </si>
  <si>
    <t>21 filas = 3 municipios × 7 dimensiones. Componentes: Amenaza, Sensibilidad, Capacidad adaptativa, Vulnerabilidad, Riesgo hoy y Riesgo SSP3-7.0 2060 (índices 0–1).</t>
  </si>
  <si>
    <t>Promedios_regionales</t>
  </si>
  <si>
    <t>Promedios oficiales de la regional Valles de San Nicolás (se usan solo como referencia del caso base).</t>
  </si>
  <si>
    <t>Medidas</t>
  </si>
  <si>
    <t>Las 15 medidas del reto con unidad de intervención y costo de referencia indivisible (Reto sec. 6).</t>
  </si>
  <si>
    <t>Evidencia</t>
  </si>
  <si>
    <t>Por medida × municipio: 1 = un estudio CORNARE la recomienda o explica la causa; 0,5 = problema relacionado documentado; 0 = sin evidencia en las fuentes.</t>
  </si>
  <si>
    <t>Pesos</t>
  </si>
  <si>
    <t>Pesos de los criterios para el escenario de referencia y para el stress test SSP3-7.0/2060.</t>
  </si>
  <si>
    <t>Parametros</t>
  </si>
  <si>
    <t>Presupuesto y reglas del modelo.</t>
  </si>
  <si>
    <t>Fuentes</t>
  </si>
  <si>
    <t>Reto CORNARE (oct. 2026); Informes finales de evaluación y zonificación de riesgos 2012 (Rionegro, Guarne, Marinilla); Zonificación de amenaza, vulnerabilidad y riesgo en cabeceras urbanas 2014 (Guarne, Marinilla); Excel REPORTE MEDIDAS DE ADAPTACIÓN MUNICIPIOS (2018–2025).</t>
  </si>
  <si>
    <t>Brecha principal</t>
  </si>
  <si>
    <t>La ficha CORNARE por dimensión no venía en el paquete: solo 7 de 42 valores de V/CA y 1 de 21 valores 2060 están disponibles (citados en el texto del reto).</t>
  </si>
  <si>
    <t>Municipio</t>
  </si>
  <si>
    <t>Dimensión</t>
  </si>
  <si>
    <t>Amenaza</t>
  </si>
  <si>
    <t>Sensibilidad</t>
  </si>
  <si>
    <t>Capacidad adaptativa</t>
  </si>
  <si>
    <t>Vulnerabilidad</t>
  </si>
  <si>
    <t>Riesgo hoy</t>
  </si>
  <si>
    <t>Riesgo SSP3-7.0 2060</t>
  </si>
  <si>
    <t>Fuente de datos ingresados por el usuario</t>
  </si>
  <si>
    <t>Notas</t>
  </si>
  <si>
    <t>Rionegro</t>
  </si>
  <si>
    <t>Biodiversidad</t>
  </si>
  <si>
    <t>Recurso hídrico</t>
  </si>
  <si>
    <t>Seguridad alimentaria</t>
  </si>
  <si>
    <t>Hábitat</t>
  </si>
  <si>
    <t>Infraestructura</t>
  </si>
  <si>
    <t>Riesgo de desastres</t>
  </si>
  <si>
    <t>Único dato oficial de cambio hacia 2060 (Bajo → Medio).</t>
  </si>
  <si>
    <t>Salud</t>
  </si>
  <si>
    <t>Guarne</t>
  </si>
  <si>
    <t>Vulnerabilidad no disponible: el análisis de valor de la información la señala como dato que puede cambiar la decisión.</t>
  </si>
  <si>
    <t>Marinilla</t>
  </si>
  <si>
    <t>Amenaza oficial reportada como rango 0,66–0,73 (Alta). Se registra el punto medio.</t>
  </si>
  <si>
    <t>Escala: índices 0–1 de la metodología CORNARE. Celda amarilla vacía = NO DISPONIBLE (entrada del usuario).</t>
  </si>
  <si>
    <t>Ejemplo de cómo llenar: en 'Guarne · Biodiversidad · Vulnerabilidad' escriba p. ej. 0,61 y en 'Fuente' anote 'Ficha CORNARE 2025, tabla X'.</t>
  </si>
  <si>
    <t>Vulnerabilidad promedio regional</t>
  </si>
  <si>
    <t>Fuente</t>
  </si>
  <si>
    <t>Uso</t>
  </si>
  <si>
    <t>[OFICIAL] Reto CORNARE (RETO_CLIMATE_WEEK_HACKATHON_1.pdf), sec. 2</t>
  </si>
  <si>
    <t>Valor de referencia del caso base cuando falta el dato municipal (SUPUESTO). En la simulación se prueba 0–1.</t>
  </si>
  <si>
    <t>Según CORNARE, biodiversidad y recurso hídrico son las dimensiones con mayor vulnerabilidad promedio de la regional; las demás no tienen promedio publicado en las fuentes.</t>
  </si>
  <si>
    <t>ID</t>
  </si>
  <si>
    <t>Medida</t>
  </si>
  <si>
    <t>Unidad de intervención (Reto)</t>
  </si>
  <si>
    <t>Costo de referencia (COP millones)</t>
  </si>
  <si>
    <t>Escala</t>
  </si>
  <si>
    <t>Actúa sobre</t>
  </si>
  <si>
    <t>Cobeneficios (otras dimensiones)</t>
  </si>
  <si>
    <t>Base del cobeneficio</t>
  </si>
  <si>
    <t>Indicador MEA disponible</t>
  </si>
  <si>
    <t>Estado del indicador</t>
  </si>
  <si>
    <t>M01</t>
  </si>
  <si>
    <t>Instrumentos de compensación y Pago por Servicios Ambientales – PSA</t>
  </si>
  <si>
    <t>Programa territorial de conservación/restauración de áreas estratégicas durante 3 años</t>
  </si>
  <si>
    <t>municipal</t>
  </si>
  <si>
    <t>S+CA</t>
  </si>
  <si>
    <t>Unidad del reto: conservación/restauración de áreas estratégicas</t>
  </si>
  <si>
    <t># de beneficiarios de la estrategia de PSA anuales</t>
  </si>
  <si>
    <t>OFICIAL (Excel adaptación municipios)</t>
  </si>
  <si>
    <t>M02</t>
  </si>
  <si>
    <t>Restauración de ecosistemas estratégicos</t>
  </si>
  <si>
    <t>Intervención integral aproximada de 100 ha, incluyendo establecimiento, mantenimiento inicial y seguimiento</t>
  </si>
  <si>
    <t>S</t>
  </si>
  <si>
    <t>Recurso hídrico; Riesgo de desastres</t>
  </si>
  <si>
    <t>Revegetalización recomendada contra movimientos en masa (Informes 2012 Guarne/Rionegro)</t>
  </si>
  <si>
    <t>COP$ invertido en proyectos de restauración.</t>
  </si>
  <si>
    <t>OFICIAL (Excel) - es indicador de actividad</t>
  </si>
  <si>
    <t>M03</t>
  </si>
  <si>
    <t>Fortalecimiento de sistemas de áreas protegidas</t>
  </si>
  <si>
    <t>Identificación, gestión, acuerdos, conectividad y fortalecimiento de áreas estratégicas en el corredor</t>
  </si>
  <si>
    <t>corredor</t>
  </si>
  <si>
    <t>CA</t>
  </si>
  <si>
    <t>Unidad del reto: conectividad y acuerdos en el corredor</t>
  </si>
  <si>
    <t># de ecosistemas estratégicos con planes de manejo formulados anualmente</t>
  </si>
  <si>
    <t>RELACIONADO (Excel: Estrategias con estructura ecológica principal)</t>
  </si>
  <si>
    <t>M04</t>
  </si>
  <si>
    <t>Uso intersectorial eficiente del recurso hídrico</t>
  </si>
  <si>
    <t>Programa para grandes usuarios, empresas, sector público y/o productivo: diagnóstico, medición, eficiencia, reúso y seguimiento</t>
  </si>
  <si>
    <t>Sin cobeneficio demostrado en las fuentes</t>
  </si>
  <si>
    <t># de empresas de sectores productivos priorizados que aumentan su eficiencia en el uso del agua.</t>
  </si>
  <si>
    <t>OFICIAL (Excel)</t>
  </si>
  <si>
    <t>M05</t>
  </si>
  <si>
    <t>Protección y recuperación de rondas hídricas</t>
  </si>
  <si>
    <t>Intervención integral de corredores ribereños priorizados: restauración, aislamiento, recuperación y seguimiento</t>
  </si>
  <si>
    <t>Biodiversidad; Riesgo de desastres; Hábitat</t>
  </si>
  <si>
    <t>Invasión de retiros y llenos en llanuras asociada a inundaciones urbanas (Informes 2012/2014)</t>
  </si>
  <si>
    <t># de planes de manejo y monitoreo diseñados e implementados.</t>
  </si>
  <si>
    <t>M06</t>
  </si>
  <si>
    <t>Protección de cabeceras de cuenca y ecosistemas abastecedores</t>
  </si>
  <si>
    <t>Intervención de una microcuenca o sistema abastecedor estratégico</t>
  </si>
  <si>
    <t>Unidad del reto: ecosistemas abastecedores</t>
  </si>
  <si>
    <t>NO DISPONIBLE</t>
  </si>
  <si>
    <t>M07</t>
  </si>
  <si>
    <t>Protección y reconversión de suelos agrícolas estratégicos</t>
  </si>
  <si>
    <t>Programa territorial con productores: asistencia, reconversión, conservación de suelo y agua</t>
  </si>
  <si>
    <t>Movimientos en masa ligados a prácticas agrícolas (Informe 2012 Marinilla; Rionegro)</t>
  </si>
  <si>
    <t># de actores educados y capacitados en términos de conservación y uso del suelo anualmente</t>
  </si>
  <si>
    <t>RELACIONADO (Excel: Protección de suelos)</t>
  </si>
  <si>
    <t>M08</t>
  </si>
  <si>
    <t>Producción agroecológica y economía rural resiliente</t>
  </si>
  <si>
    <t>Programa de asistencia técnica, manejo de suelo, agua, asociatividad y adaptación productiva</t>
  </si>
  <si>
    <t>Unidad del reto: manejo de suelo y agua</t>
  </si>
  <si>
    <t># de familias beneficiadas</t>
  </si>
  <si>
    <t>M09</t>
  </si>
  <si>
    <t>Espacios verdes urbanos</t>
  </si>
  <si>
    <t>Corredor/área verde multifuncional con arborización, conectividad y regulación térmica/hídrica</t>
  </si>
  <si>
    <t>Salud; Recurso hídrico; Biodiversidad</t>
  </si>
  <si>
    <t>Unidad del reto: regulación térmica/hídrica y conectividad</t>
  </si>
  <si>
    <t>M10</t>
  </si>
  <si>
    <t>Sistemas Urbanos de Drenaje Sostenible – SUDS</t>
  </si>
  <si>
    <t>Intervención piloto de escala municipal: jardines de lluvia, zonas de infiltración, pavimentos permeables, almacenamiento, etc.</t>
  </si>
  <si>
    <t>Riesgo de desastres; Recurso hídrico</t>
  </si>
  <si>
    <t>Unidad del reto: infiltración y almacenamiento; Informes 2014 sobre escorrentía urbana</t>
  </si>
  <si>
    <t># de municipios donde se implementa la medida.</t>
  </si>
  <si>
    <t>OFICIAL (Excel) - indicador de actividad</t>
  </si>
  <si>
    <t>M11</t>
  </si>
  <si>
    <t>Infraestructura resiliente al cambio climático</t>
  </si>
  <si>
    <t>Adecuación de un punto crítico de infraestructura/vía/servicio priorizado</t>
  </si>
  <si>
    <t>Unidad del reto: punto crítico de infraestructura/vía</t>
  </si>
  <si>
    <t>Cambio en población urbana localizada en zonas de amenaza.</t>
  </si>
  <si>
    <t>RELACIONADO (Excel: Construcciones resistentes) - indicador de resultado</t>
  </si>
  <si>
    <t>M12</t>
  </si>
  <si>
    <t>Fortalecimiento de infraestructura resiliente y servicios públicos</t>
  </si>
  <si>
    <t>Intervención focalizada de infraestructura o servicio esencial</t>
  </si>
  <si>
    <t>Unidad del reto: servicio esencial</t>
  </si>
  <si>
    <t>M13</t>
  </si>
  <si>
    <t>Fortalecimiento de Sistemas de Alerta Temprana – SAT</t>
  </si>
  <si>
    <t>Sistema interoperable para puntos críticos del corredor, instrumentación + comunicaciones + protocolos</t>
  </si>
  <si>
    <t>Unidad del reto: puntos críticos del corredor</t>
  </si>
  <si>
    <t>M14</t>
  </si>
  <si>
    <t>Conocimiento y comunicación sobre amenazas, vulnerabilidad y riesgo climático</t>
  </si>
  <si>
    <t>Estudios, modelación, instrumentación básica, protocolos y plataforma de información</t>
  </si>
  <si>
    <t>Su valor es informacional (ver análisis de valor de la información)</t>
  </si>
  <si>
    <t># de estudios de riesgo climático elaborados por sector anualmente</t>
  </si>
  <si>
    <t>RELACIONADO (Excel: Uso intersectorial)</t>
  </si>
  <si>
    <t>M15</t>
  </si>
  <si>
    <t>Sistema de salud y entornos saludables resilientes al clima</t>
  </si>
  <si>
    <t>Vigilancia climato-sensible, capacidades institucionales, prevención y respuesta</t>
  </si>
  <si>
    <t>Sin datos de salud en las fuentes</t>
  </si>
  <si>
    <t>Escala: 'corredor' cuando la unidad del reto lo dice explícitamente (M03, M13) o cuando su producto es de información para los tres municipios (M14) [SUPUESTO para M14].</t>
  </si>
  <si>
    <t>Actúa sobre: S = reduce sensibilidad; CA = fortalece capacidad adaptativa; S+CA = ambas [INFERENCIA a partir de la unidad de intervención].</t>
  </si>
  <si>
    <t>Cobeneficios: [INFERENCIA] a partir de la unidad de intervención del reto y de los estudios 2012/2014; no son efectos medidos.</t>
  </si>
  <si>
    <t>Evidencia (0 / 0,5 / 1)</t>
  </si>
  <si>
    <t>Qué dice la fuente</t>
  </si>
  <si>
    <t>PSA registrado asociado a incendios forestales (antecedente de problema)</t>
  </si>
  <si>
    <t>Excel REPORTE MEDIDAS ADAPTACIÓN 2025</t>
  </si>
  <si>
    <t>Recomendación de preservar bosque y aguas de La Brizuela (POMCA La Brizuela y La Honda)</t>
  </si>
  <si>
    <t>Zonificación cabecera Guarne 2014 sec.4.1</t>
  </si>
  <si>
    <t>Sin evidencia documentada en las fuentes</t>
  </si>
  <si>
    <t>-</t>
  </si>
  <si>
    <t>Recomienda mejoramiento de coberturas vegetales (Cuchillas de San José, Galicia); restauración registrada para inundaciones</t>
  </si>
  <si>
    <t>Informe final Rionegro 2012 sec.6.1; Excel 2023</t>
  </si>
  <si>
    <t>Recomienda revegetalización de suelos expuestos y reforestación con especies nativas</t>
  </si>
  <si>
    <t>Informe final Guarne 2012 sec.6.1; Zonificación Guarne 2014</t>
  </si>
  <si>
    <t>Recomienda mantenimiento de reforestaciones ejecutadas</t>
  </si>
  <si>
    <t>Zonificación cabecera Marinilla 2014 sec.3.2</t>
  </si>
  <si>
    <t>Preservar bosque y aguas de La Brizuela como eje ambiental (POMCA)</t>
  </si>
  <si>
    <t>Sin evidencia documentada (dependencia hídrica empresarial = brecha declarada por CORNARE)</t>
  </si>
  <si>
    <t>RETO sec.5</t>
  </si>
  <si>
    <t>Recomienda continuar recuperación de cauces ocupados; rondas registradas para inundaciones</t>
  </si>
  <si>
    <t>Informe final Rionegro 2012 sec.7.1; Excel 2023</t>
  </si>
  <si>
    <t>Llenos antrópicos en llanuras de La Brizuela y Basto Norte; barrios al borde de afluentes (El Sango, La Cabaña, San Vicente, San Antonio)</t>
  </si>
  <si>
    <t>Inundaciones por invasión de retiros (Q. La Marinilla, Occidente, Oriente, Matadero); barrios Santa Ana, La Ramada, El Manantial</t>
  </si>
  <si>
    <t>Informe final Marinilla 2012 sec.6; Zonificación Marinilla 2014 sec.3.1</t>
  </si>
  <si>
    <t>Recomienda acoger POMCA La Brizuela y La Honda; preservar aguas de La Brizuela</t>
  </si>
  <si>
    <t>Deterioro del suelo por expansión de frontera agrícola (pastos, ganado, cultivos) como causa de movimientos en masa</t>
  </si>
  <si>
    <t>Informe final Rionegro 2012 sec.6.1</t>
  </si>
  <si>
    <t>Recomienda ajustar actividades productivas a la capacidad del terreno en zonas de riesgo medio a muy alto</t>
  </si>
  <si>
    <t>Informe final Guarne 2012 sec.6.1</t>
  </si>
  <si>
    <t>La mayor parte de movimientos en masa relacionados con cultivos limpios y sobrepastoreo; 77% de casos son movimientos en masa</t>
  </si>
  <si>
    <t>Informe final Marinilla 2012 sec.6</t>
  </si>
  <si>
    <t>Recomienda capacitación en buenas técnicas de labranza</t>
  </si>
  <si>
    <t>Malas prácticas agrícolas inductoras de erosión</t>
  </si>
  <si>
    <t>Recomienda sistemas de recolección y conducción de aguas lluvias (veredas)</t>
  </si>
  <si>
    <t>Revisión de alcantarillado (barrio San Vicente) y capacidad hidráulica de canalizaciones</t>
  </si>
  <si>
    <t>Zonificación cabecera Guarne 2014 sec.4.2</t>
  </si>
  <si>
    <t>Revisión de alcantarillado y capacidad hidráulica de canalizaciones urbanas; manejo de escorrentía pluvial</t>
  </si>
  <si>
    <t>Mantenimiento de obras de arte de vías y cunetas</t>
  </si>
  <si>
    <t>Informe final Rionegro 2012 sec.7.1</t>
  </si>
  <si>
    <t>Vías mejoradas registradas por movimiento en masa</t>
  </si>
  <si>
    <t>Excel REPORTE MEDIDAS ADAPTACIÓN 2020</t>
  </si>
  <si>
    <t>Hundimientos en vías veredales sin cunetas; ampliación de obras de paso sobre Q. La Marinilla (La Ramada, La Avenida)</t>
  </si>
  <si>
    <t>Informe final Marinilla 2012 sec.6; Zonificación Marinilla 2014 sec.3.2</t>
  </si>
  <si>
    <t>Alcantarillado inadecuado barrio San Vicente</t>
  </si>
  <si>
    <t>Afectación a redes de acueducto (3,33% de sitios); revisión de alcantarillado</t>
  </si>
  <si>
    <t>Informe final Marinilla 2012 sec.6; Zonificación Marinilla 2014</t>
  </si>
  <si>
    <t>Recomienda diseño, construcción y operación de sistemas de alerta con estaciones hidrométricas</t>
  </si>
  <si>
    <t>Recomienda actualizar zonificación de amenaza urbana y estudiar nuevos núcleos habitacionales</t>
  </si>
  <si>
    <t>Informe final Rionegro 2012 sec.7</t>
  </si>
  <si>
    <t>Recomienda actualizar estudio de amenazas urbano y planes de emergencia</t>
  </si>
  <si>
    <t>Informe final Guarne 2012 sec.6.2; Zonificación Guarne 2014 sec.4.1</t>
  </si>
  <si>
    <t>Recomienda dinamizar comités de conocimiento del riesgo y censos en asentamientos</t>
  </si>
  <si>
    <t>Zonificación Marinilla 2014 sec.3.1-3.2</t>
  </si>
  <si>
    <t>Verde = evidencia documentada [DERIVADO: codificación del equipo sobre fuentes CORNARE]. Amarillo = 0 por ausencia de evidencia en las fuentes; puede actualizarse si aparece un estudio.</t>
  </si>
  <si>
    <t>Criterio</t>
  </si>
  <si>
    <t>Qué mide</t>
  </si>
  <si>
    <t>De dónde sale</t>
  </si>
  <si>
    <t>Referencia (hoy)</t>
  </si>
  <si>
    <t>Stress test SSP3-7.0/2060</t>
  </si>
  <si>
    <t>Necesidad</t>
  </si>
  <si>
    <t>Qué tan grave es el problema que ataca la medida</t>
  </si>
  <si>
    <t>Vulnerabilidad de la dimensión en el municipio</t>
  </si>
  <si>
    <t>Brecha CA</t>
  </si>
  <si>
    <t>Qué tan poca capacidad hay para responder, y si la medida la fortalece</t>
  </si>
  <si>
    <t>(1 − Capacidad adaptativa) × alineación</t>
  </si>
  <si>
    <t>Si los estudios CORNARE respaldan la medida en ese lugar</t>
  </si>
  <si>
    <t>Hoja Evidencia</t>
  </si>
  <si>
    <t>Cobertura</t>
  </si>
  <si>
    <t>A cuántos municipios beneficia</t>
  </si>
  <si>
    <t>Escala de la medida (municipal 1/3, corredor 1)</t>
  </si>
  <si>
    <t>Cobeneficios</t>
  </si>
  <si>
    <t>Si ayuda también a otras dimensiones</t>
  </si>
  <si>
    <t>Hoja Medidas (nº de dimensiones adicionales / 3)</t>
  </si>
  <si>
    <t>Robustez 2060</t>
  </si>
  <si>
    <t>Si el problema empeora hacia 2060</t>
  </si>
  <si>
    <t>Riesgo SSP3-7.0 2060 vs Riesgo hoy</t>
  </si>
  <si>
    <t>Suma</t>
  </si>
  <si>
    <t>Peso de robustez en el stress test</t>
  </si>
  <si>
    <t>Origen de los pesos</t>
  </si>
  <si>
    <t>[SUPUESTO] Definidos por el equipo (no son datos de CORNARE). Se someten a análisis de sensibilidad en el motor.</t>
  </si>
  <si>
    <t>Por qué robustez = 0 hoy</t>
  </si>
  <si>
    <t>El reto pide decidir primero con el escenario de referencia y luego probar la decisión contra SSP3-7.0/2060 (sec. 7).</t>
  </si>
  <si>
    <t>Parámetro</t>
  </si>
  <si>
    <t>Valor</t>
  </si>
  <si>
    <t>Tipo</t>
  </si>
  <si>
    <t>Explicación</t>
  </si>
  <si>
    <t>Presupuesto (COP millones)</t>
  </si>
  <si>
    <t>[OFICIAL]</t>
  </si>
  <si>
    <t>Fondo de adaptación del reto (sec. 6). No es obligatorio ejecutarlo completo.</t>
  </si>
  <si>
    <t>Umbral de evidencia mínima</t>
  </si>
  <si>
    <t>[SUPUESTO]</t>
  </si>
  <si>
    <t>Una alternativa solo compite si tiene al menos 1 dato oficial de V/CA o evidencia ≥ este valor.</t>
  </si>
  <si>
    <t>Alineación de medidas que solo reducen sensibilidad</t>
  </si>
  <si>
    <t>Cuánto cuenta la brecha de CA para medidas tipo S (las tipo CA y S+CA cuentan 1).</t>
  </si>
  <si>
    <t>Valor de referencia para celdas vacías</t>
  </si>
  <si>
    <t>Solo para el caso base (si no hay promedio regional). En la simulación se prueba todo el rango 0–1.</t>
  </si>
  <si>
    <t>Elasticidad beneficio–costo (α)</t>
  </si>
  <si>
    <t>Efectividad no disponible: beneficio = puntaje × (costo/1000)^α. α=0: cada medida vale igual; α=1: el beneficio crece con la inversión. Se prueba 0–1.</t>
  </si>
  <si>
    <t>Nº de simulaciones</t>
  </si>
  <si>
    <t>Escenarios aleatorios para probar datos faltantes, pesos y α.</t>
  </si>
  <si>
    <t>Semilla aleatoria</t>
  </si>
  <si>
    <t>Fija los números aleatorios para que el resultado sea reproducible.</t>
  </si>
  <si>
    <t>Decisión del stress test (A / B / C)</t>
  </si>
  <si>
    <t>A</t>
  </si>
  <si>
    <t>Decisión del equipo tras el stress test. A = mantener el portafolio robusto; B = adoptar el portafolio SSP3-7.0/2060; C = híbrido: el portafolio casi equivalente (regret) que incluye una medida que entra en 2060.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</si>
</sst>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\$#,##0"/>
    <numFmt numFmtId="166" formatCode="0.0"/>
    <numFmt numFmtId="167" formatCode="0.0%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b/>
      <sz val="10"/>
      <color rgb="FFFFFFFF"/>
      <name val="Arial"/>
      <family val="2"/>
    </font>
    <font>
      <i/>
      <sz val="9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sz val="10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AD3"/>
        <bgColor rgb="FFFCE5CD"/>
      </patternFill>
    </fill>
    <fill>
      <patternFill patternType="solid">
        <fgColor rgb="FFFFF2CC"/>
        <bgColor rgb="FFFCE5CD"/>
      </patternFill>
    </fill>
    <fill>
      <patternFill patternType="solid">
        <fgColor rgb="FFFCE5CD"/>
        <bgColor rgb="FFFFF2CC"/>
      </patternFill>
    </fill>
    <fill>
      <patternFill patternType="solid">
        <fgColor rgb="FF1F4E5A"/>
        <bgColor rgb="FF003366"/>
      </patternFill>
    </fill>
    <fill>
      <patternFill patternType="solid">
        <fgColor rgb="FFFCE5CD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  <xf numFmtId="0" fontId="5" fillId="5" borderId="1" xfId="0" applyFont="1" applyFill="1" applyBorder="1" applyAlignment="1">
      <alignment vertical="top" wrapText="1"/>
    </xf>
    <xf numFmtId="0" fontId="3" fillId="0" borderId="0" xfId="0" applyFont="1"/>
    <xf numFmtId="2" fontId="0" fillId="3" borderId="1" xfId="0" applyNumberFormat="1" applyFill="1" applyBorder="1"/>
    <xf numFmtId="2" fontId="3" fillId="2" borderId="1" xfId="0" applyNumberFormat="1" applyFont="1" applyFill="1" applyBorder="1"/>
    <xf numFmtId="0" fontId="0" fillId="3" borderId="1" xfId="0" applyFill="1" applyBorder="1"/>
    <xf numFmtId="164" fontId="3" fillId="4" borderId="1" xfId="0" applyNumberFormat="1" applyFont="1" applyFill="1" applyBorder="1"/>
    <xf numFmtId="0" fontId="6" fillId="0" borderId="0" xfId="0" applyFont="1"/>
    <xf numFmtId="2" fontId="3" fillId="2" borderId="0" xfId="0" applyNumberFormat="1" applyFont="1" applyFill="1"/>
    <xf numFmtId="0" fontId="3" fillId="0" borderId="1" xfId="0" applyFont="1" applyBorder="1" applyAlignment="1">
      <alignment vertical="top" wrapText="1"/>
    </xf>
    <xf numFmtId="165" fontId="3" fillId="2" borderId="1" xfId="0" applyNumberFormat="1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166" fontId="3" fillId="2" borderId="1" xfId="0" applyNumberFormat="1" applyFont="1" applyFill="1" applyBorder="1" applyAlignment="1">
      <alignment vertical="top" wrapText="1"/>
    </xf>
    <xf numFmtId="166" fontId="3" fillId="3" borderId="1" xfId="0" applyNumberFormat="1" applyFont="1" applyFill="1" applyBorder="1" applyAlignment="1">
      <alignment vertical="top" wrapText="1"/>
    </xf>
    <xf numFmtId="167" fontId="7" fillId="0" borderId="1" xfId="0" applyNumberFormat="1" applyFont="1" applyBorder="1"/>
    <xf numFmtId="167" fontId="3" fillId="0" borderId="1" xfId="0" applyNumberFormat="1" applyFont="1" applyBorder="1"/>
    <xf numFmtId="167" fontId="2" fillId="0" borderId="0" xfId="0" applyNumberFormat="1" applyFont="1"/>
    <xf numFmtId="9" fontId="7" fillId="0" borderId="0" xfId="0" applyNumberFormat="1" applyFont="1"/>
    <xf numFmtId="165" fontId="7" fillId="0" borderId="1" xfId="0" applyNumberFormat="1" applyFont="1" applyBorder="1"/>
    <xf numFmtId="0" fontId="3" fillId="2" borderId="0" xfId="0" applyFont="1" applyFill="1"/>
    <xf numFmtId="0" fontId="7" fillId="0" borderId="1" xfId="0" applyFont="1" applyBorder="1"/>
    <xf numFmtId="0" fontId="3" fillId="4" borderId="0" xfId="0" applyFont="1" applyFill="1"/>
    <xf numFmtId="0" fontId="8" fillId="0" borderId="0" xfId="0" applyFont="1"/>
    <xf numFmtId="0" fontId="9" fillId="0" borderId="2" xfId="0" applyFont="1" applyBorder="1"/>
    <xf numFmtId="0" fontId="8" fillId="6" borderId="0" xfId="0" applyFont="1" applyFill="1"/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zoomScaleNormal="100" workbookViewId="0"/>
  </sheetViews>
  <sheetFormatPr baseColWidth="10" defaultColWidth="8.6640625" defaultRowHeight="14.4" x14ac:dyDescent="0.3"/>
  <cols>
    <col min="1" max="1" width="26" customWidth="1"/>
    <col min="2" max="2" width="100" customWidth="1"/>
  </cols>
  <sheetData>
    <row r="1" spans="1:2" ht="17.399999999999999" customHeight="1" x14ac:dyDescent="0.3">
      <c r="A1" s="1" t="s">
        <v>0</v>
      </c>
    </row>
    <row r="3" spans="1:2" ht="15" customHeight="1" x14ac:dyDescent="0.3">
      <c r="A3" s="2" t="s">
        <v>1</v>
      </c>
      <c r="B3" s="3" t="s">
        <v>2</v>
      </c>
    </row>
    <row r="4" spans="1:2" ht="23.85" customHeight="1" x14ac:dyDescent="0.3">
      <c r="A4" s="2" t="s">
        <v>3</v>
      </c>
      <c r="B4" s="3" t="s">
        <v>4</v>
      </c>
    </row>
    <row r="5" spans="1:2" ht="23.85" customHeight="1" x14ac:dyDescent="0.3">
      <c r="A5" s="2" t="s">
        <v>5</v>
      </c>
      <c r="B5" s="3" t="s">
        <v>6</v>
      </c>
    </row>
    <row r="6" spans="1:2" ht="23.85" customHeight="1" x14ac:dyDescent="0.3">
      <c r="A6" s="2" t="s">
        <v>7</v>
      </c>
      <c r="B6" s="3" t="s">
        <v>8</v>
      </c>
    </row>
    <row r="7" spans="1:2" ht="15" customHeight="1" x14ac:dyDescent="0.3">
      <c r="A7" s="2"/>
      <c r="B7" s="3"/>
    </row>
    <row r="8" spans="1:2" ht="15" customHeight="1" x14ac:dyDescent="0.3">
      <c r="A8" s="2" t="s">
        <v>9</v>
      </c>
      <c r="B8" s="3"/>
    </row>
    <row r="9" spans="1:2" ht="15" customHeight="1" x14ac:dyDescent="0.3">
      <c r="A9" s="4" t="s">
        <v>10</v>
      </c>
      <c r="B9" s="3" t="s">
        <v>11</v>
      </c>
    </row>
    <row r="10" spans="1:2" ht="15" customHeight="1" x14ac:dyDescent="0.3">
      <c r="A10" s="5" t="s">
        <v>12</v>
      </c>
      <c r="B10" s="3" t="s">
        <v>13</v>
      </c>
    </row>
    <row r="11" spans="1:2" ht="15" customHeight="1" x14ac:dyDescent="0.3">
      <c r="A11" s="6" t="s">
        <v>14</v>
      </c>
      <c r="B11" s="3" t="s">
        <v>15</v>
      </c>
    </row>
    <row r="12" spans="1:2" ht="15" customHeight="1" x14ac:dyDescent="0.3">
      <c r="A12" s="7" t="s">
        <v>16</v>
      </c>
      <c r="B12" s="3" t="s">
        <v>17</v>
      </c>
    </row>
    <row r="13" spans="1:2" ht="15" customHeight="1" x14ac:dyDescent="0.3">
      <c r="A13" s="2"/>
      <c r="B13" s="3"/>
    </row>
    <row r="14" spans="1:2" ht="15" customHeight="1" x14ac:dyDescent="0.3">
      <c r="A14" s="2" t="s">
        <v>18</v>
      </c>
      <c r="B14" s="3"/>
    </row>
    <row r="15" spans="1:2" ht="23.85" customHeight="1" x14ac:dyDescent="0.3">
      <c r="A15" s="2" t="s">
        <v>19</v>
      </c>
      <c r="B15" s="3" t="s">
        <v>20</v>
      </c>
    </row>
    <row r="16" spans="1:2" ht="15" customHeight="1" x14ac:dyDescent="0.3">
      <c r="A16" s="2" t="s">
        <v>21</v>
      </c>
      <c r="B16" s="3" t="s">
        <v>22</v>
      </c>
    </row>
    <row r="17" spans="1:2" ht="15" customHeight="1" x14ac:dyDescent="0.3">
      <c r="A17" s="2" t="s">
        <v>23</v>
      </c>
      <c r="B17" s="3" t="s">
        <v>24</v>
      </c>
    </row>
    <row r="18" spans="1:2" ht="23.85" customHeight="1" x14ac:dyDescent="0.3">
      <c r="A18" s="2" t="s">
        <v>25</v>
      </c>
      <c r="B18" s="3" t="s">
        <v>26</v>
      </c>
    </row>
    <row r="19" spans="1:2" ht="15" customHeight="1" x14ac:dyDescent="0.3">
      <c r="A19" s="2" t="s">
        <v>27</v>
      </c>
      <c r="B19" s="3" t="s">
        <v>28</v>
      </c>
    </row>
    <row r="20" spans="1:2" ht="15" customHeight="1" x14ac:dyDescent="0.3">
      <c r="A20" s="2" t="s">
        <v>29</v>
      </c>
      <c r="B20" s="3" t="s">
        <v>30</v>
      </c>
    </row>
    <row r="21" spans="1:2" ht="15" customHeight="1" x14ac:dyDescent="0.3">
      <c r="A21" s="2"/>
      <c r="B21" s="3"/>
    </row>
    <row r="22" spans="1:2" ht="35.1" customHeight="1" x14ac:dyDescent="0.3">
      <c r="A22" s="2" t="s">
        <v>31</v>
      </c>
      <c r="B22" s="3" t="s">
        <v>32</v>
      </c>
    </row>
    <row r="23" spans="1:2" ht="23.85" customHeight="1" x14ac:dyDescent="0.3">
      <c r="A23" s="2" t="s">
        <v>33</v>
      </c>
      <c r="B23" s="3" t="s">
        <v>34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12" customWidth="1"/>
    <col min="2" max="2" width="22" customWidth="1"/>
    <col min="3" max="3" width="12" customWidth="1"/>
    <col min="4" max="4" width="13" customWidth="1"/>
    <col min="5" max="6" width="14" customWidth="1"/>
    <col min="7" max="7" width="11" customWidth="1"/>
    <col min="8" max="8" width="14" customWidth="1"/>
    <col min="9" max="9" width="38" customWidth="1"/>
    <col min="10" max="10" width="50" customWidth="1"/>
  </cols>
  <sheetData>
    <row r="1" spans="1:10" ht="23.85" customHeight="1" x14ac:dyDescent="0.3">
      <c r="A1" s="8" t="s">
        <v>35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8" t="s">
        <v>41</v>
      </c>
      <c r="H1" s="8" t="s">
        <v>42</v>
      </c>
      <c r="I1" s="8" t="s">
        <v>43</v>
      </c>
      <c r="J1" s="8" t="s">
        <v>44</v>
      </c>
    </row>
    <row r="2" spans="1:10" ht="15" customHeight="1" x14ac:dyDescent="0.3">
      <c r="A2" s="9" t="s">
        <v>45</v>
      </c>
      <c r="B2" s="9" t="s">
        <v>46</v>
      </c>
      <c r="C2" s="10"/>
      <c r="D2" s="10"/>
      <c r="E2" s="11">
        <v>0.22</v>
      </c>
      <c r="F2" s="11">
        <v>0.75</v>
      </c>
      <c r="G2" s="10"/>
      <c r="H2" s="10"/>
      <c r="I2" s="12"/>
      <c r="J2" s="3"/>
    </row>
    <row r="3" spans="1:10" ht="15" customHeight="1" x14ac:dyDescent="0.3">
      <c r="A3" s="9" t="s">
        <v>45</v>
      </c>
      <c r="B3" s="9" t="s">
        <v>47</v>
      </c>
      <c r="C3" s="10"/>
      <c r="D3" s="10"/>
      <c r="E3" s="10"/>
      <c r="F3" s="10"/>
      <c r="G3" s="10"/>
      <c r="H3" s="10"/>
      <c r="I3" s="12"/>
      <c r="J3" s="3"/>
    </row>
    <row r="4" spans="1:10" ht="15" customHeight="1" x14ac:dyDescent="0.3">
      <c r="A4" s="9" t="s">
        <v>45</v>
      </c>
      <c r="B4" s="9" t="s">
        <v>48</v>
      </c>
      <c r="C4" s="10"/>
      <c r="D4" s="10"/>
      <c r="E4" s="10"/>
      <c r="F4" s="10"/>
      <c r="G4" s="10"/>
      <c r="H4" s="10"/>
      <c r="I4" s="12"/>
      <c r="J4" s="3"/>
    </row>
    <row r="5" spans="1:10" ht="15" customHeight="1" x14ac:dyDescent="0.3">
      <c r="A5" s="9" t="s">
        <v>45</v>
      </c>
      <c r="B5" s="9" t="s">
        <v>49</v>
      </c>
      <c r="C5" s="10"/>
      <c r="D5" s="10"/>
      <c r="E5" s="10"/>
      <c r="F5" s="10"/>
      <c r="G5" s="10"/>
      <c r="H5" s="10"/>
      <c r="I5" s="12"/>
      <c r="J5" s="3"/>
    </row>
    <row r="6" spans="1:10" ht="15" customHeight="1" x14ac:dyDescent="0.3">
      <c r="A6" s="9" t="s">
        <v>45</v>
      </c>
      <c r="B6" s="9" t="s">
        <v>50</v>
      </c>
      <c r="C6" s="10"/>
      <c r="D6" s="10"/>
      <c r="E6" s="10"/>
      <c r="F6" s="10"/>
      <c r="G6" s="10"/>
      <c r="H6" s="10"/>
      <c r="I6" s="12"/>
      <c r="J6" s="3"/>
    </row>
    <row r="7" spans="1:10" ht="15" customHeight="1" x14ac:dyDescent="0.3">
      <c r="A7" s="9" t="s">
        <v>45</v>
      </c>
      <c r="B7" s="9" t="s">
        <v>51</v>
      </c>
      <c r="C7" s="10"/>
      <c r="D7" s="11">
        <v>0.4</v>
      </c>
      <c r="E7" s="11">
        <v>0.56000000000000005</v>
      </c>
      <c r="F7" s="10"/>
      <c r="G7" s="11">
        <v>0.28000000000000003</v>
      </c>
      <c r="H7" s="11">
        <v>0.32</v>
      </c>
      <c r="I7" s="12"/>
      <c r="J7" s="3" t="s">
        <v>52</v>
      </c>
    </row>
    <row r="8" spans="1:10" ht="15" customHeight="1" x14ac:dyDescent="0.3">
      <c r="A8" s="9" t="s">
        <v>45</v>
      </c>
      <c r="B8" s="9" t="s">
        <v>53</v>
      </c>
      <c r="C8" s="10"/>
      <c r="D8" s="10"/>
      <c r="E8" s="10"/>
      <c r="F8" s="10"/>
      <c r="G8" s="10"/>
      <c r="H8" s="10"/>
      <c r="I8" s="12"/>
      <c r="J8" s="3"/>
    </row>
    <row r="9" spans="1:10" ht="35.1" customHeight="1" x14ac:dyDescent="0.3">
      <c r="A9" s="9" t="s">
        <v>54</v>
      </c>
      <c r="B9" s="9" t="s">
        <v>46</v>
      </c>
      <c r="C9" s="10"/>
      <c r="D9" s="10"/>
      <c r="E9" s="11">
        <v>0.33</v>
      </c>
      <c r="F9" s="10"/>
      <c r="G9" s="10"/>
      <c r="H9" s="10"/>
      <c r="I9" s="12"/>
      <c r="J9" s="3" t="s">
        <v>55</v>
      </c>
    </row>
    <row r="10" spans="1:10" ht="15" customHeight="1" x14ac:dyDescent="0.3">
      <c r="A10" s="9" t="s">
        <v>54</v>
      </c>
      <c r="B10" s="9" t="s">
        <v>47</v>
      </c>
      <c r="C10" s="10"/>
      <c r="D10" s="10"/>
      <c r="E10" s="10"/>
      <c r="F10" s="10"/>
      <c r="G10" s="10"/>
      <c r="H10" s="10"/>
      <c r="I10" s="12"/>
      <c r="J10" s="3"/>
    </row>
    <row r="11" spans="1:10" ht="15" customHeight="1" x14ac:dyDescent="0.3">
      <c r="A11" s="9" t="s">
        <v>54</v>
      </c>
      <c r="B11" s="9" t="s">
        <v>48</v>
      </c>
      <c r="C11" s="10"/>
      <c r="D11" s="10"/>
      <c r="E11" s="10"/>
      <c r="F11" s="10"/>
      <c r="G11" s="10"/>
      <c r="H11" s="10"/>
      <c r="I11" s="12"/>
      <c r="J11" s="3"/>
    </row>
    <row r="12" spans="1:10" ht="15" customHeight="1" x14ac:dyDescent="0.3">
      <c r="A12" s="9" t="s">
        <v>54</v>
      </c>
      <c r="B12" s="9" t="s">
        <v>49</v>
      </c>
      <c r="C12" s="10"/>
      <c r="D12" s="10"/>
      <c r="E12" s="10"/>
      <c r="F12" s="10"/>
      <c r="G12" s="10"/>
      <c r="H12" s="10"/>
      <c r="I12" s="12"/>
      <c r="J12" s="3"/>
    </row>
    <row r="13" spans="1:10" ht="15" customHeight="1" x14ac:dyDescent="0.3">
      <c r="A13" s="9" t="s">
        <v>54</v>
      </c>
      <c r="B13" s="9" t="s">
        <v>50</v>
      </c>
      <c r="C13" s="10"/>
      <c r="D13" s="10"/>
      <c r="E13" s="10"/>
      <c r="F13" s="10"/>
      <c r="G13" s="10"/>
      <c r="H13" s="10"/>
      <c r="I13" s="12"/>
      <c r="J13" s="3"/>
    </row>
    <row r="14" spans="1:10" ht="15" customHeight="1" x14ac:dyDescent="0.3">
      <c r="A14" s="9" t="s">
        <v>54</v>
      </c>
      <c r="B14" s="9" t="s">
        <v>51</v>
      </c>
      <c r="C14" s="10"/>
      <c r="D14" s="10"/>
      <c r="E14" s="10"/>
      <c r="F14" s="10"/>
      <c r="G14" s="10"/>
      <c r="H14" s="10"/>
      <c r="I14" s="12"/>
      <c r="J14" s="3"/>
    </row>
    <row r="15" spans="1:10" ht="15" customHeight="1" x14ac:dyDescent="0.3">
      <c r="A15" s="9" t="s">
        <v>54</v>
      </c>
      <c r="B15" s="9" t="s">
        <v>53</v>
      </c>
      <c r="C15" s="10"/>
      <c r="D15" s="10"/>
      <c r="E15" s="10"/>
      <c r="F15" s="10"/>
      <c r="G15" s="10"/>
      <c r="H15" s="10"/>
      <c r="I15" s="12"/>
      <c r="J15" s="3"/>
    </row>
    <row r="16" spans="1:10" ht="15" customHeight="1" x14ac:dyDescent="0.3">
      <c r="A16" s="9" t="s">
        <v>56</v>
      </c>
      <c r="B16" s="9" t="s">
        <v>46</v>
      </c>
      <c r="C16" s="10"/>
      <c r="D16" s="10"/>
      <c r="E16" s="11">
        <v>0.24</v>
      </c>
      <c r="F16" s="11">
        <v>0.72</v>
      </c>
      <c r="G16" s="10"/>
      <c r="H16" s="10"/>
      <c r="I16" s="12"/>
      <c r="J16" s="3"/>
    </row>
    <row r="17" spans="1:10" ht="15" customHeight="1" x14ac:dyDescent="0.3">
      <c r="A17" s="9" t="s">
        <v>56</v>
      </c>
      <c r="B17" s="9" t="s">
        <v>47</v>
      </c>
      <c r="C17" s="10"/>
      <c r="D17" s="10"/>
      <c r="E17" s="10"/>
      <c r="F17" s="10"/>
      <c r="G17" s="10"/>
      <c r="H17" s="10"/>
      <c r="I17" s="12"/>
      <c r="J17" s="3"/>
    </row>
    <row r="18" spans="1:10" ht="15" customHeight="1" x14ac:dyDescent="0.3">
      <c r="A18" s="9" t="s">
        <v>56</v>
      </c>
      <c r="B18" s="9" t="s">
        <v>48</v>
      </c>
      <c r="C18" s="10"/>
      <c r="D18" s="10"/>
      <c r="E18" s="10"/>
      <c r="F18" s="10"/>
      <c r="G18" s="10"/>
      <c r="H18" s="10"/>
      <c r="I18" s="12"/>
      <c r="J18" s="3"/>
    </row>
    <row r="19" spans="1:10" ht="15" customHeight="1" x14ac:dyDescent="0.3">
      <c r="A19" s="9" t="s">
        <v>56</v>
      </c>
      <c r="B19" s="9" t="s">
        <v>49</v>
      </c>
      <c r="C19" s="10"/>
      <c r="D19" s="10"/>
      <c r="E19" s="10"/>
      <c r="F19" s="10"/>
      <c r="G19" s="10"/>
      <c r="H19" s="10"/>
      <c r="I19" s="12"/>
      <c r="J19" s="3"/>
    </row>
    <row r="20" spans="1:10" ht="15" customHeight="1" x14ac:dyDescent="0.3">
      <c r="A20" s="9" t="s">
        <v>56</v>
      </c>
      <c r="B20" s="9" t="s">
        <v>50</v>
      </c>
      <c r="C20" s="10"/>
      <c r="D20" s="10"/>
      <c r="E20" s="10"/>
      <c r="F20" s="10"/>
      <c r="G20" s="10"/>
      <c r="H20" s="10"/>
      <c r="I20" s="12"/>
      <c r="J20" s="3"/>
    </row>
    <row r="21" spans="1:10" ht="23.85" customHeight="1" x14ac:dyDescent="0.3">
      <c r="A21" s="9" t="s">
        <v>56</v>
      </c>
      <c r="B21" s="9" t="s">
        <v>51</v>
      </c>
      <c r="C21" s="13">
        <v>0.69499999999999995</v>
      </c>
      <c r="D21" s="10"/>
      <c r="E21" s="11">
        <v>0.61</v>
      </c>
      <c r="F21" s="10"/>
      <c r="G21" s="10"/>
      <c r="H21" s="10"/>
      <c r="I21" s="12"/>
      <c r="J21" s="3" t="s">
        <v>57</v>
      </c>
    </row>
    <row r="22" spans="1:10" ht="15" customHeight="1" x14ac:dyDescent="0.3">
      <c r="A22" s="9" t="s">
        <v>56</v>
      </c>
      <c r="B22" s="9" t="s">
        <v>53</v>
      </c>
      <c r="C22" s="10"/>
      <c r="D22" s="10"/>
      <c r="E22" s="10"/>
      <c r="F22" s="10"/>
      <c r="G22" s="10"/>
      <c r="H22" s="10"/>
      <c r="I22" s="12"/>
      <c r="J22" s="3"/>
    </row>
    <row r="24" spans="1:10" ht="15" customHeight="1" x14ac:dyDescent="0.3">
      <c r="A24" s="14" t="s">
        <v>58</v>
      </c>
    </row>
    <row r="25" spans="1:10" ht="15" customHeight="1" x14ac:dyDescent="0.3">
      <c r="A25" s="14" t="s">
        <v>59</v>
      </c>
    </row>
  </sheetData>
  <dataValidations count="1">
    <dataValidation type="decimal" allowBlank="1" errorTitle="Valor fuera de rango" error="Ingrese un índice entre 0 y 1" sqref="C2:H22" xr:uid="{00000000-0002-0000-01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zoomScaleNormal="100" workbookViewId="0"/>
  </sheetViews>
  <sheetFormatPr baseColWidth="10" defaultColWidth="8.6640625" defaultRowHeight="14.4" x14ac:dyDescent="0.3"/>
  <cols>
    <col min="1" max="1" width="22" customWidth="1"/>
    <col min="2" max="2" width="18" customWidth="1"/>
    <col min="3" max="3" width="50" customWidth="1"/>
    <col min="4" max="4" width="60" customWidth="1"/>
  </cols>
  <sheetData>
    <row r="1" spans="1:4" ht="23.85" customHeight="1" x14ac:dyDescent="0.3">
      <c r="A1" s="8" t="s">
        <v>36</v>
      </c>
      <c r="B1" s="8" t="s">
        <v>60</v>
      </c>
      <c r="C1" s="8" t="s">
        <v>61</v>
      </c>
      <c r="D1" s="8" t="s">
        <v>62</v>
      </c>
    </row>
    <row r="2" spans="1:4" ht="15" customHeight="1" x14ac:dyDescent="0.3">
      <c r="A2" s="9" t="s">
        <v>46</v>
      </c>
      <c r="B2" s="15">
        <v>0.55000000000000004</v>
      </c>
      <c r="C2" s="9" t="s">
        <v>63</v>
      </c>
      <c r="D2" s="9" t="s">
        <v>64</v>
      </c>
    </row>
    <row r="3" spans="1:4" ht="15" customHeight="1" x14ac:dyDescent="0.3">
      <c r="A3" s="9" t="s">
        <v>47</v>
      </c>
      <c r="B3" s="15">
        <v>0.53</v>
      </c>
      <c r="C3" s="9" t="s">
        <v>63</v>
      </c>
      <c r="D3" s="9" t="s">
        <v>64</v>
      </c>
    </row>
    <row r="4" spans="1:4" ht="15" customHeight="1" x14ac:dyDescent="0.3">
      <c r="A4" s="14" t="s">
        <v>65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6" customWidth="1"/>
    <col min="2" max="2" width="18" customWidth="1"/>
    <col min="3" max="3" width="40" customWidth="1"/>
    <col min="4" max="4" width="52" customWidth="1"/>
    <col min="5" max="5" width="14" customWidth="1"/>
    <col min="6" max="7" width="11" customWidth="1"/>
    <col min="8" max="8" width="32" customWidth="1"/>
    <col min="9" max="10" width="46" customWidth="1"/>
    <col min="11" max="11" width="34" customWidth="1"/>
  </cols>
  <sheetData>
    <row r="1" spans="1:11" ht="35.1" customHeight="1" x14ac:dyDescent="0.3">
      <c r="A1" s="8" t="s">
        <v>66</v>
      </c>
      <c r="B1" s="8" t="s">
        <v>36</v>
      </c>
      <c r="C1" s="8" t="s">
        <v>67</v>
      </c>
      <c r="D1" s="8" t="s">
        <v>68</v>
      </c>
      <c r="E1" s="8" t="s">
        <v>69</v>
      </c>
      <c r="F1" s="8" t="s">
        <v>70</v>
      </c>
      <c r="G1" s="8" t="s">
        <v>71</v>
      </c>
      <c r="H1" s="8" t="s">
        <v>72</v>
      </c>
      <c r="I1" s="8" t="s">
        <v>73</v>
      </c>
      <c r="J1" s="8" t="s">
        <v>74</v>
      </c>
      <c r="K1" s="8" t="s">
        <v>75</v>
      </c>
    </row>
    <row r="2" spans="1:11" ht="23.85" customHeight="1" x14ac:dyDescent="0.3">
      <c r="A2" s="16" t="s">
        <v>76</v>
      </c>
      <c r="B2" s="16" t="s">
        <v>46</v>
      </c>
      <c r="C2" s="16" t="s">
        <v>77</v>
      </c>
      <c r="D2" s="16" t="s">
        <v>78</v>
      </c>
      <c r="E2" s="17">
        <v>1200</v>
      </c>
      <c r="F2" s="18" t="s">
        <v>79</v>
      </c>
      <c r="G2" s="18" t="s">
        <v>80</v>
      </c>
      <c r="H2" s="18" t="s">
        <v>47</v>
      </c>
      <c r="I2" s="16" t="s">
        <v>81</v>
      </c>
      <c r="J2" s="16" t="s">
        <v>82</v>
      </c>
      <c r="K2" s="16" t="s">
        <v>83</v>
      </c>
    </row>
    <row r="3" spans="1:11" ht="23.85" customHeight="1" x14ac:dyDescent="0.3">
      <c r="A3" s="16" t="s">
        <v>84</v>
      </c>
      <c r="B3" s="16" t="s">
        <v>46</v>
      </c>
      <c r="C3" s="16" t="s">
        <v>85</v>
      </c>
      <c r="D3" s="16" t="s">
        <v>86</v>
      </c>
      <c r="E3" s="17">
        <v>1500</v>
      </c>
      <c r="F3" s="18" t="s">
        <v>79</v>
      </c>
      <c r="G3" s="18" t="s">
        <v>87</v>
      </c>
      <c r="H3" s="18" t="s">
        <v>88</v>
      </c>
      <c r="I3" s="16" t="s">
        <v>89</v>
      </c>
      <c r="J3" s="16" t="s">
        <v>90</v>
      </c>
      <c r="K3" s="16" t="s">
        <v>91</v>
      </c>
    </row>
    <row r="4" spans="1:11" ht="23.85" customHeight="1" x14ac:dyDescent="0.3">
      <c r="A4" s="16" t="s">
        <v>92</v>
      </c>
      <c r="B4" s="16" t="s">
        <v>46</v>
      </c>
      <c r="C4" s="16" t="s">
        <v>93</v>
      </c>
      <c r="D4" s="16" t="s">
        <v>94</v>
      </c>
      <c r="E4" s="17">
        <v>700</v>
      </c>
      <c r="F4" s="18" t="s">
        <v>95</v>
      </c>
      <c r="G4" s="18" t="s">
        <v>96</v>
      </c>
      <c r="H4" s="18" t="s">
        <v>47</v>
      </c>
      <c r="I4" s="16" t="s">
        <v>97</v>
      </c>
      <c r="J4" s="16" t="s">
        <v>98</v>
      </c>
      <c r="K4" s="16" t="s">
        <v>99</v>
      </c>
    </row>
    <row r="5" spans="1:11" ht="35.1" customHeight="1" x14ac:dyDescent="0.3">
      <c r="A5" s="16" t="s">
        <v>100</v>
      </c>
      <c r="B5" s="16" t="s">
        <v>47</v>
      </c>
      <c r="C5" s="16" t="s">
        <v>101</v>
      </c>
      <c r="D5" s="16" t="s">
        <v>102</v>
      </c>
      <c r="E5" s="17">
        <v>900</v>
      </c>
      <c r="F5" s="18" t="s">
        <v>79</v>
      </c>
      <c r="G5" s="18" t="s">
        <v>80</v>
      </c>
      <c r="H5" s="18"/>
      <c r="I5" s="16" t="s">
        <v>103</v>
      </c>
      <c r="J5" s="16" t="s">
        <v>104</v>
      </c>
      <c r="K5" s="16" t="s">
        <v>105</v>
      </c>
    </row>
    <row r="6" spans="1:11" ht="23.85" customHeight="1" x14ac:dyDescent="0.3">
      <c r="A6" s="16" t="s">
        <v>106</v>
      </c>
      <c r="B6" s="16" t="s">
        <v>47</v>
      </c>
      <c r="C6" s="16" t="s">
        <v>107</v>
      </c>
      <c r="D6" s="16" t="s">
        <v>108</v>
      </c>
      <c r="E6" s="17">
        <v>1300</v>
      </c>
      <c r="F6" s="18" t="s">
        <v>79</v>
      </c>
      <c r="G6" s="18" t="s">
        <v>87</v>
      </c>
      <c r="H6" s="18" t="s">
        <v>109</v>
      </c>
      <c r="I6" s="16" t="s">
        <v>110</v>
      </c>
      <c r="J6" s="16" t="s">
        <v>111</v>
      </c>
      <c r="K6" s="16" t="s">
        <v>105</v>
      </c>
    </row>
    <row r="7" spans="1:11" ht="23.85" customHeight="1" x14ac:dyDescent="0.3">
      <c r="A7" s="16" t="s">
        <v>112</v>
      </c>
      <c r="B7" s="16" t="s">
        <v>47</v>
      </c>
      <c r="C7" s="16" t="s">
        <v>113</v>
      </c>
      <c r="D7" s="16" t="s">
        <v>114</v>
      </c>
      <c r="E7" s="17">
        <v>1600</v>
      </c>
      <c r="F7" s="18" t="s">
        <v>79</v>
      </c>
      <c r="G7" s="18" t="s">
        <v>87</v>
      </c>
      <c r="H7" s="18" t="s">
        <v>46</v>
      </c>
      <c r="I7" s="16" t="s">
        <v>115</v>
      </c>
      <c r="J7" s="16" t="s">
        <v>116</v>
      </c>
      <c r="K7" s="16" t="s">
        <v>116</v>
      </c>
    </row>
    <row r="8" spans="1:11" ht="23.85" customHeight="1" x14ac:dyDescent="0.3">
      <c r="A8" s="16" t="s">
        <v>117</v>
      </c>
      <c r="B8" s="16" t="s">
        <v>48</v>
      </c>
      <c r="C8" s="16" t="s">
        <v>118</v>
      </c>
      <c r="D8" s="16" t="s">
        <v>119</v>
      </c>
      <c r="E8" s="17">
        <v>1000</v>
      </c>
      <c r="F8" s="18" t="s">
        <v>79</v>
      </c>
      <c r="G8" s="18" t="s">
        <v>87</v>
      </c>
      <c r="H8" s="18" t="s">
        <v>88</v>
      </c>
      <c r="I8" s="16" t="s">
        <v>120</v>
      </c>
      <c r="J8" s="16" t="s">
        <v>121</v>
      </c>
      <c r="K8" s="16" t="s">
        <v>122</v>
      </c>
    </row>
    <row r="9" spans="1:11" ht="23.85" customHeight="1" x14ac:dyDescent="0.3">
      <c r="A9" s="16" t="s">
        <v>123</v>
      </c>
      <c r="B9" s="16" t="s">
        <v>48</v>
      </c>
      <c r="C9" s="16" t="s">
        <v>124</v>
      </c>
      <c r="D9" s="16" t="s">
        <v>125</v>
      </c>
      <c r="E9" s="17">
        <v>800</v>
      </c>
      <c r="F9" s="18" t="s">
        <v>79</v>
      </c>
      <c r="G9" s="18" t="s">
        <v>80</v>
      </c>
      <c r="H9" s="18" t="s">
        <v>47</v>
      </c>
      <c r="I9" s="16" t="s">
        <v>126</v>
      </c>
      <c r="J9" s="16" t="s">
        <v>127</v>
      </c>
      <c r="K9" s="16" t="s">
        <v>105</v>
      </c>
    </row>
    <row r="10" spans="1:11" ht="23.85" customHeight="1" x14ac:dyDescent="0.3">
      <c r="A10" s="16" t="s">
        <v>128</v>
      </c>
      <c r="B10" s="16" t="s">
        <v>49</v>
      </c>
      <c r="C10" s="16" t="s">
        <v>129</v>
      </c>
      <c r="D10" s="16" t="s">
        <v>130</v>
      </c>
      <c r="E10" s="17">
        <v>1000</v>
      </c>
      <c r="F10" s="18" t="s">
        <v>79</v>
      </c>
      <c r="G10" s="18" t="s">
        <v>87</v>
      </c>
      <c r="H10" s="18" t="s">
        <v>131</v>
      </c>
      <c r="I10" s="16" t="s">
        <v>132</v>
      </c>
      <c r="J10" s="16" t="s">
        <v>116</v>
      </c>
      <c r="K10" s="16" t="s">
        <v>116</v>
      </c>
    </row>
    <row r="11" spans="1:11" ht="23.85" customHeight="1" x14ac:dyDescent="0.3">
      <c r="A11" s="16" t="s">
        <v>133</v>
      </c>
      <c r="B11" s="16" t="s">
        <v>49</v>
      </c>
      <c r="C11" s="16" t="s">
        <v>134</v>
      </c>
      <c r="D11" s="16" t="s">
        <v>135</v>
      </c>
      <c r="E11" s="17">
        <v>1800</v>
      </c>
      <c r="F11" s="18" t="s">
        <v>79</v>
      </c>
      <c r="G11" s="18" t="s">
        <v>87</v>
      </c>
      <c r="H11" s="18" t="s">
        <v>136</v>
      </c>
      <c r="I11" s="16" t="s">
        <v>137</v>
      </c>
      <c r="J11" s="16" t="s">
        <v>138</v>
      </c>
      <c r="K11" s="16" t="s">
        <v>139</v>
      </c>
    </row>
    <row r="12" spans="1:11" ht="23.85" customHeight="1" x14ac:dyDescent="0.3">
      <c r="A12" s="16" t="s">
        <v>140</v>
      </c>
      <c r="B12" s="16" t="s">
        <v>50</v>
      </c>
      <c r="C12" s="16" t="s">
        <v>141</v>
      </c>
      <c r="D12" s="16" t="s">
        <v>142</v>
      </c>
      <c r="E12" s="17">
        <v>2500</v>
      </c>
      <c r="F12" s="18" t="s">
        <v>79</v>
      </c>
      <c r="G12" s="18" t="s">
        <v>87</v>
      </c>
      <c r="H12" s="18" t="s">
        <v>51</v>
      </c>
      <c r="I12" s="16" t="s">
        <v>143</v>
      </c>
      <c r="J12" s="16" t="s">
        <v>144</v>
      </c>
      <c r="K12" s="16" t="s">
        <v>145</v>
      </c>
    </row>
    <row r="13" spans="1:11" ht="23.85" customHeight="1" x14ac:dyDescent="0.3">
      <c r="A13" s="16" t="s">
        <v>146</v>
      </c>
      <c r="B13" s="16" t="s">
        <v>50</v>
      </c>
      <c r="C13" s="16" t="s">
        <v>147</v>
      </c>
      <c r="D13" s="16" t="s">
        <v>148</v>
      </c>
      <c r="E13" s="17">
        <v>2000</v>
      </c>
      <c r="F13" s="18" t="s">
        <v>79</v>
      </c>
      <c r="G13" s="18" t="s">
        <v>87</v>
      </c>
      <c r="H13" s="18" t="s">
        <v>51</v>
      </c>
      <c r="I13" s="16" t="s">
        <v>149</v>
      </c>
      <c r="J13" s="16" t="s">
        <v>116</v>
      </c>
      <c r="K13" s="16" t="s">
        <v>116</v>
      </c>
    </row>
    <row r="14" spans="1:11" ht="23.85" customHeight="1" x14ac:dyDescent="0.3">
      <c r="A14" s="16" t="s">
        <v>150</v>
      </c>
      <c r="B14" s="16" t="s">
        <v>51</v>
      </c>
      <c r="C14" s="16" t="s">
        <v>151</v>
      </c>
      <c r="D14" s="16" t="s">
        <v>152</v>
      </c>
      <c r="E14" s="17">
        <v>1200</v>
      </c>
      <c r="F14" s="18" t="s">
        <v>95</v>
      </c>
      <c r="G14" s="18" t="s">
        <v>96</v>
      </c>
      <c r="H14" s="18" t="s">
        <v>50</v>
      </c>
      <c r="I14" s="16" t="s">
        <v>153</v>
      </c>
      <c r="J14" s="16" t="s">
        <v>116</v>
      </c>
      <c r="K14" s="16" t="s">
        <v>116</v>
      </c>
    </row>
    <row r="15" spans="1:11" ht="23.85" customHeight="1" x14ac:dyDescent="0.3">
      <c r="A15" s="16" t="s">
        <v>154</v>
      </c>
      <c r="B15" s="16" t="s">
        <v>51</v>
      </c>
      <c r="C15" s="16" t="s">
        <v>155</v>
      </c>
      <c r="D15" s="16" t="s">
        <v>156</v>
      </c>
      <c r="E15" s="17">
        <v>600</v>
      </c>
      <c r="F15" s="18" t="s">
        <v>95</v>
      </c>
      <c r="G15" s="18" t="s">
        <v>96</v>
      </c>
      <c r="H15" s="18"/>
      <c r="I15" s="16" t="s">
        <v>157</v>
      </c>
      <c r="J15" s="16" t="s">
        <v>158</v>
      </c>
      <c r="K15" s="16" t="s">
        <v>159</v>
      </c>
    </row>
    <row r="16" spans="1:11" ht="23.85" customHeight="1" x14ac:dyDescent="0.3">
      <c r="A16" s="16" t="s">
        <v>160</v>
      </c>
      <c r="B16" s="16" t="s">
        <v>53</v>
      </c>
      <c r="C16" s="16" t="s">
        <v>161</v>
      </c>
      <c r="D16" s="16" t="s">
        <v>162</v>
      </c>
      <c r="E16" s="17">
        <v>800</v>
      </c>
      <c r="F16" s="18" t="s">
        <v>79</v>
      </c>
      <c r="G16" s="18" t="s">
        <v>96</v>
      </c>
      <c r="H16" s="18"/>
      <c r="I16" s="16" t="s">
        <v>163</v>
      </c>
      <c r="J16" s="16" t="s">
        <v>116</v>
      </c>
      <c r="K16" s="16" t="s">
        <v>116</v>
      </c>
    </row>
    <row r="18" spans="1:1" ht="15" customHeight="1" x14ac:dyDescent="0.3">
      <c r="A18" s="14" t="s">
        <v>164</v>
      </c>
    </row>
    <row r="19" spans="1:1" ht="15" customHeight="1" x14ac:dyDescent="0.3">
      <c r="A19" s="14" t="s">
        <v>165</v>
      </c>
    </row>
    <row r="20" spans="1:1" ht="15" customHeight="1" x14ac:dyDescent="0.3">
      <c r="A20" s="14" t="s">
        <v>166</v>
      </c>
    </row>
  </sheetData>
  <dataValidations count="2">
    <dataValidation type="list" sqref="F2:F16" xr:uid="{00000000-0002-0000-0300-000000000000}">
      <formula1>"municipal,corredor"</formula1>
      <formula2>0</formula2>
    </dataValidation>
    <dataValidation type="list" sqref="G2:G16" xr:uid="{00000000-0002-0000-0300-000001000000}">
      <formula1>"S,CA,S+CA"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8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6" customWidth="1"/>
    <col min="2" max="2" width="40" customWidth="1"/>
    <col min="3" max="4" width="12" customWidth="1"/>
    <col min="5" max="5" width="70" customWidth="1"/>
    <col min="6" max="6" width="50" customWidth="1"/>
  </cols>
  <sheetData>
    <row r="1" spans="1:6" ht="23.85" customHeight="1" x14ac:dyDescent="0.3">
      <c r="A1" s="8" t="s">
        <v>66</v>
      </c>
      <c r="B1" s="8" t="s">
        <v>67</v>
      </c>
      <c r="C1" s="8" t="s">
        <v>35</v>
      </c>
      <c r="D1" s="8" t="s">
        <v>167</v>
      </c>
      <c r="E1" s="8" t="s">
        <v>168</v>
      </c>
      <c r="F1" s="8" t="s">
        <v>61</v>
      </c>
    </row>
    <row r="2" spans="1:6" ht="23.85" customHeight="1" x14ac:dyDescent="0.3">
      <c r="A2" s="16" t="s">
        <v>76</v>
      </c>
      <c r="B2" s="16" t="s">
        <v>77</v>
      </c>
      <c r="C2" s="16" t="s">
        <v>45</v>
      </c>
      <c r="D2" s="19">
        <v>0.5</v>
      </c>
      <c r="E2" s="16" t="s">
        <v>169</v>
      </c>
      <c r="F2" s="16" t="s">
        <v>170</v>
      </c>
    </row>
    <row r="3" spans="1:6" ht="23.85" customHeight="1" x14ac:dyDescent="0.3">
      <c r="A3" s="16" t="s">
        <v>76</v>
      </c>
      <c r="B3" s="16" t="s">
        <v>77</v>
      </c>
      <c r="C3" s="16" t="s">
        <v>54</v>
      </c>
      <c r="D3" s="19">
        <v>0.5</v>
      </c>
      <c r="E3" s="16" t="s">
        <v>171</v>
      </c>
      <c r="F3" s="16" t="s">
        <v>172</v>
      </c>
    </row>
    <row r="4" spans="1:6" ht="23.85" customHeight="1" x14ac:dyDescent="0.3">
      <c r="A4" s="16" t="s">
        <v>76</v>
      </c>
      <c r="B4" s="16" t="s">
        <v>77</v>
      </c>
      <c r="C4" s="16" t="s">
        <v>56</v>
      </c>
      <c r="D4" s="20">
        <v>0</v>
      </c>
      <c r="E4" s="16" t="s">
        <v>173</v>
      </c>
      <c r="F4" s="16" t="s">
        <v>174</v>
      </c>
    </row>
    <row r="5" spans="1:6" ht="23.85" customHeight="1" x14ac:dyDescent="0.3">
      <c r="A5" s="16" t="s">
        <v>84</v>
      </c>
      <c r="B5" s="16" t="s">
        <v>85</v>
      </c>
      <c r="C5" s="16" t="s">
        <v>45</v>
      </c>
      <c r="D5" s="19">
        <v>1</v>
      </c>
      <c r="E5" s="16" t="s">
        <v>175</v>
      </c>
      <c r="F5" s="16" t="s">
        <v>176</v>
      </c>
    </row>
    <row r="6" spans="1:6" ht="23.85" customHeight="1" x14ac:dyDescent="0.3">
      <c r="A6" s="16" t="s">
        <v>84</v>
      </c>
      <c r="B6" s="16" t="s">
        <v>85</v>
      </c>
      <c r="C6" s="16" t="s">
        <v>54</v>
      </c>
      <c r="D6" s="19">
        <v>1</v>
      </c>
      <c r="E6" s="16" t="s">
        <v>177</v>
      </c>
      <c r="F6" s="16" t="s">
        <v>178</v>
      </c>
    </row>
    <row r="7" spans="1:6" ht="15" customHeight="1" x14ac:dyDescent="0.3">
      <c r="A7" s="16" t="s">
        <v>84</v>
      </c>
      <c r="B7" s="16" t="s">
        <v>85</v>
      </c>
      <c r="C7" s="16" t="s">
        <v>56</v>
      </c>
      <c r="D7" s="19">
        <v>0.5</v>
      </c>
      <c r="E7" s="16" t="s">
        <v>179</v>
      </c>
      <c r="F7" s="16" t="s">
        <v>180</v>
      </c>
    </row>
    <row r="8" spans="1:6" ht="15" customHeight="1" x14ac:dyDescent="0.3">
      <c r="A8" s="16" t="s">
        <v>92</v>
      </c>
      <c r="B8" s="16" t="s">
        <v>93</v>
      </c>
      <c r="C8" s="16" t="s">
        <v>45</v>
      </c>
      <c r="D8" s="20">
        <v>0</v>
      </c>
      <c r="E8" s="16" t="s">
        <v>173</v>
      </c>
      <c r="F8" s="16" t="s">
        <v>174</v>
      </c>
    </row>
    <row r="9" spans="1:6" ht="15" customHeight="1" x14ac:dyDescent="0.3">
      <c r="A9" s="16" t="s">
        <v>92</v>
      </c>
      <c r="B9" s="16" t="s">
        <v>93</v>
      </c>
      <c r="C9" s="16" t="s">
        <v>54</v>
      </c>
      <c r="D9" s="19">
        <v>0.5</v>
      </c>
      <c r="E9" s="16" t="s">
        <v>181</v>
      </c>
      <c r="F9" s="16" t="s">
        <v>172</v>
      </c>
    </row>
    <row r="10" spans="1:6" ht="15" customHeight="1" x14ac:dyDescent="0.3">
      <c r="A10" s="16" t="s">
        <v>92</v>
      </c>
      <c r="B10" s="16" t="s">
        <v>93</v>
      </c>
      <c r="C10" s="16" t="s">
        <v>56</v>
      </c>
      <c r="D10" s="20">
        <v>0</v>
      </c>
      <c r="E10" s="16" t="s">
        <v>173</v>
      </c>
      <c r="F10" s="16" t="s">
        <v>174</v>
      </c>
    </row>
    <row r="11" spans="1:6" ht="23.85" customHeight="1" x14ac:dyDescent="0.3">
      <c r="A11" s="16" t="s">
        <v>100</v>
      </c>
      <c r="B11" s="16" t="s">
        <v>101</v>
      </c>
      <c r="C11" s="16" t="s">
        <v>45</v>
      </c>
      <c r="D11" s="20">
        <v>0</v>
      </c>
      <c r="E11" s="16" t="s">
        <v>182</v>
      </c>
      <c r="F11" s="16" t="s">
        <v>183</v>
      </c>
    </row>
    <row r="12" spans="1:6" ht="23.85" customHeight="1" x14ac:dyDescent="0.3">
      <c r="A12" s="16" t="s">
        <v>100</v>
      </c>
      <c r="B12" s="16" t="s">
        <v>101</v>
      </c>
      <c r="C12" s="16" t="s">
        <v>54</v>
      </c>
      <c r="D12" s="20">
        <v>0</v>
      </c>
      <c r="E12" s="16" t="s">
        <v>182</v>
      </c>
      <c r="F12" s="16" t="s">
        <v>183</v>
      </c>
    </row>
    <row r="13" spans="1:6" ht="23.85" customHeight="1" x14ac:dyDescent="0.3">
      <c r="A13" s="16" t="s">
        <v>100</v>
      </c>
      <c r="B13" s="16" t="s">
        <v>101</v>
      </c>
      <c r="C13" s="16" t="s">
        <v>56</v>
      </c>
      <c r="D13" s="20">
        <v>0</v>
      </c>
      <c r="E13" s="16" t="s">
        <v>182</v>
      </c>
      <c r="F13" s="16" t="s">
        <v>183</v>
      </c>
    </row>
    <row r="14" spans="1:6" ht="23.85" customHeight="1" x14ac:dyDescent="0.3">
      <c r="A14" s="16" t="s">
        <v>106</v>
      </c>
      <c r="B14" s="16" t="s">
        <v>107</v>
      </c>
      <c r="C14" s="16" t="s">
        <v>45</v>
      </c>
      <c r="D14" s="19">
        <v>1</v>
      </c>
      <c r="E14" s="16" t="s">
        <v>184</v>
      </c>
      <c r="F14" s="16" t="s">
        <v>185</v>
      </c>
    </row>
    <row r="15" spans="1:6" ht="23.85" customHeight="1" x14ac:dyDescent="0.3">
      <c r="A15" s="16" t="s">
        <v>106</v>
      </c>
      <c r="B15" s="16" t="s">
        <v>107</v>
      </c>
      <c r="C15" s="16" t="s">
        <v>54</v>
      </c>
      <c r="D15" s="19">
        <v>1</v>
      </c>
      <c r="E15" s="16" t="s">
        <v>186</v>
      </c>
      <c r="F15" s="16" t="s">
        <v>172</v>
      </c>
    </row>
    <row r="16" spans="1:6" ht="23.85" customHeight="1" x14ac:dyDescent="0.3">
      <c r="A16" s="16" t="s">
        <v>106</v>
      </c>
      <c r="B16" s="16" t="s">
        <v>107</v>
      </c>
      <c r="C16" s="16" t="s">
        <v>56</v>
      </c>
      <c r="D16" s="19">
        <v>1</v>
      </c>
      <c r="E16" s="16" t="s">
        <v>187</v>
      </c>
      <c r="F16" s="16" t="s">
        <v>188</v>
      </c>
    </row>
    <row r="17" spans="1:6" ht="23.85" customHeight="1" x14ac:dyDescent="0.3">
      <c r="A17" s="16" t="s">
        <v>112</v>
      </c>
      <c r="B17" s="16" t="s">
        <v>113</v>
      </c>
      <c r="C17" s="16" t="s">
        <v>45</v>
      </c>
      <c r="D17" s="20">
        <v>0</v>
      </c>
      <c r="E17" s="16" t="s">
        <v>173</v>
      </c>
      <c r="F17" s="16" t="s">
        <v>174</v>
      </c>
    </row>
    <row r="18" spans="1:6" ht="23.85" customHeight="1" x14ac:dyDescent="0.3">
      <c r="A18" s="16" t="s">
        <v>112</v>
      </c>
      <c r="B18" s="16" t="s">
        <v>113</v>
      </c>
      <c r="C18" s="16" t="s">
        <v>54</v>
      </c>
      <c r="D18" s="19">
        <v>0.5</v>
      </c>
      <c r="E18" s="16" t="s">
        <v>189</v>
      </c>
      <c r="F18" s="16" t="s">
        <v>172</v>
      </c>
    </row>
    <row r="19" spans="1:6" ht="23.85" customHeight="1" x14ac:dyDescent="0.3">
      <c r="A19" s="16" t="s">
        <v>112</v>
      </c>
      <c r="B19" s="16" t="s">
        <v>113</v>
      </c>
      <c r="C19" s="16" t="s">
        <v>56</v>
      </c>
      <c r="D19" s="20">
        <v>0</v>
      </c>
      <c r="E19" s="16" t="s">
        <v>173</v>
      </c>
      <c r="F19" s="16" t="s">
        <v>174</v>
      </c>
    </row>
    <row r="20" spans="1:6" ht="23.85" customHeight="1" x14ac:dyDescent="0.3">
      <c r="A20" s="16" t="s">
        <v>117</v>
      </c>
      <c r="B20" s="16" t="s">
        <v>118</v>
      </c>
      <c r="C20" s="16" t="s">
        <v>45</v>
      </c>
      <c r="D20" s="19">
        <v>1</v>
      </c>
      <c r="E20" s="16" t="s">
        <v>190</v>
      </c>
      <c r="F20" s="16" t="s">
        <v>191</v>
      </c>
    </row>
    <row r="21" spans="1:6" ht="23.85" customHeight="1" x14ac:dyDescent="0.3">
      <c r="A21" s="16" t="s">
        <v>117</v>
      </c>
      <c r="B21" s="16" t="s">
        <v>118</v>
      </c>
      <c r="C21" s="16" t="s">
        <v>54</v>
      </c>
      <c r="D21" s="19">
        <v>1</v>
      </c>
      <c r="E21" s="16" t="s">
        <v>192</v>
      </c>
      <c r="F21" s="16" t="s">
        <v>193</v>
      </c>
    </row>
    <row r="22" spans="1:6" ht="23.85" customHeight="1" x14ac:dyDescent="0.3">
      <c r="A22" s="16" t="s">
        <v>117</v>
      </c>
      <c r="B22" s="16" t="s">
        <v>118</v>
      </c>
      <c r="C22" s="16" t="s">
        <v>56</v>
      </c>
      <c r="D22" s="19">
        <v>1</v>
      </c>
      <c r="E22" s="16" t="s">
        <v>194</v>
      </c>
      <c r="F22" s="16" t="s">
        <v>195</v>
      </c>
    </row>
    <row r="23" spans="1:6" ht="23.85" customHeight="1" x14ac:dyDescent="0.3">
      <c r="A23" s="16" t="s">
        <v>123</v>
      </c>
      <c r="B23" s="16" t="s">
        <v>124</v>
      </c>
      <c r="C23" s="16" t="s">
        <v>45</v>
      </c>
      <c r="D23" s="20">
        <v>0</v>
      </c>
      <c r="E23" s="16" t="s">
        <v>173</v>
      </c>
      <c r="F23" s="16" t="s">
        <v>174</v>
      </c>
    </row>
    <row r="24" spans="1:6" ht="23.85" customHeight="1" x14ac:dyDescent="0.3">
      <c r="A24" s="16" t="s">
        <v>123</v>
      </c>
      <c r="B24" s="16" t="s">
        <v>124</v>
      </c>
      <c r="C24" s="16" t="s">
        <v>54</v>
      </c>
      <c r="D24" s="19">
        <v>0.5</v>
      </c>
      <c r="E24" s="16" t="s">
        <v>196</v>
      </c>
      <c r="F24" s="16" t="s">
        <v>193</v>
      </c>
    </row>
    <row r="25" spans="1:6" ht="23.85" customHeight="1" x14ac:dyDescent="0.3">
      <c r="A25" s="16" t="s">
        <v>123</v>
      </c>
      <c r="B25" s="16" t="s">
        <v>124</v>
      </c>
      <c r="C25" s="16" t="s">
        <v>56</v>
      </c>
      <c r="D25" s="19">
        <v>0.5</v>
      </c>
      <c r="E25" s="16" t="s">
        <v>197</v>
      </c>
      <c r="F25" s="16" t="s">
        <v>195</v>
      </c>
    </row>
    <row r="26" spans="1:6" ht="15" customHeight="1" x14ac:dyDescent="0.3">
      <c r="A26" s="16" t="s">
        <v>128</v>
      </c>
      <c r="B26" s="16" t="s">
        <v>129</v>
      </c>
      <c r="C26" s="16" t="s">
        <v>45</v>
      </c>
      <c r="D26" s="20">
        <v>0</v>
      </c>
      <c r="E26" s="16" t="s">
        <v>173</v>
      </c>
      <c r="F26" s="16" t="s">
        <v>174</v>
      </c>
    </row>
    <row r="27" spans="1:6" ht="15" customHeight="1" x14ac:dyDescent="0.3">
      <c r="A27" s="16" t="s">
        <v>128</v>
      </c>
      <c r="B27" s="16" t="s">
        <v>129</v>
      </c>
      <c r="C27" s="16" t="s">
        <v>54</v>
      </c>
      <c r="D27" s="20">
        <v>0</v>
      </c>
      <c r="E27" s="16" t="s">
        <v>173</v>
      </c>
      <c r="F27" s="16" t="s">
        <v>174</v>
      </c>
    </row>
    <row r="28" spans="1:6" ht="15" customHeight="1" x14ac:dyDescent="0.3">
      <c r="A28" s="16" t="s">
        <v>128</v>
      </c>
      <c r="B28" s="16" t="s">
        <v>129</v>
      </c>
      <c r="C28" s="16" t="s">
        <v>56</v>
      </c>
      <c r="D28" s="20">
        <v>0</v>
      </c>
      <c r="E28" s="16" t="s">
        <v>173</v>
      </c>
      <c r="F28" s="16" t="s">
        <v>174</v>
      </c>
    </row>
    <row r="29" spans="1:6" ht="23.85" customHeight="1" x14ac:dyDescent="0.3">
      <c r="A29" s="16" t="s">
        <v>133</v>
      </c>
      <c r="B29" s="16" t="s">
        <v>134</v>
      </c>
      <c r="C29" s="16" t="s">
        <v>45</v>
      </c>
      <c r="D29" s="19">
        <v>0.5</v>
      </c>
      <c r="E29" s="16" t="s">
        <v>198</v>
      </c>
      <c r="F29" s="16" t="s">
        <v>191</v>
      </c>
    </row>
    <row r="30" spans="1:6" ht="23.85" customHeight="1" x14ac:dyDescent="0.3">
      <c r="A30" s="16" t="s">
        <v>133</v>
      </c>
      <c r="B30" s="16" t="s">
        <v>134</v>
      </c>
      <c r="C30" s="16" t="s">
        <v>54</v>
      </c>
      <c r="D30" s="19">
        <v>0.5</v>
      </c>
      <c r="E30" s="16" t="s">
        <v>199</v>
      </c>
      <c r="F30" s="16" t="s">
        <v>200</v>
      </c>
    </row>
    <row r="31" spans="1:6" ht="23.85" customHeight="1" x14ac:dyDescent="0.3">
      <c r="A31" s="16" t="s">
        <v>133</v>
      </c>
      <c r="B31" s="16" t="s">
        <v>134</v>
      </c>
      <c r="C31" s="16" t="s">
        <v>56</v>
      </c>
      <c r="D31" s="19">
        <v>0.5</v>
      </c>
      <c r="E31" s="16" t="s">
        <v>201</v>
      </c>
      <c r="F31" s="16" t="s">
        <v>180</v>
      </c>
    </row>
    <row r="32" spans="1:6" ht="15" customHeight="1" x14ac:dyDescent="0.3">
      <c r="A32" s="16" t="s">
        <v>140</v>
      </c>
      <c r="B32" s="16" t="s">
        <v>141</v>
      </c>
      <c r="C32" s="16" t="s">
        <v>45</v>
      </c>
      <c r="D32" s="19">
        <v>0.5</v>
      </c>
      <c r="E32" s="16" t="s">
        <v>202</v>
      </c>
      <c r="F32" s="16" t="s">
        <v>203</v>
      </c>
    </row>
    <row r="33" spans="1:6" ht="15" customHeight="1" x14ac:dyDescent="0.3">
      <c r="A33" s="16" t="s">
        <v>140</v>
      </c>
      <c r="B33" s="16" t="s">
        <v>141</v>
      </c>
      <c r="C33" s="16" t="s">
        <v>54</v>
      </c>
      <c r="D33" s="19">
        <v>0.5</v>
      </c>
      <c r="E33" s="16" t="s">
        <v>204</v>
      </c>
      <c r="F33" s="16" t="s">
        <v>205</v>
      </c>
    </row>
    <row r="34" spans="1:6" ht="23.85" customHeight="1" x14ac:dyDescent="0.3">
      <c r="A34" s="16" t="s">
        <v>140</v>
      </c>
      <c r="B34" s="16" t="s">
        <v>141</v>
      </c>
      <c r="C34" s="16" t="s">
        <v>56</v>
      </c>
      <c r="D34" s="19">
        <v>1</v>
      </c>
      <c r="E34" s="16" t="s">
        <v>206</v>
      </c>
      <c r="F34" s="16" t="s">
        <v>207</v>
      </c>
    </row>
    <row r="35" spans="1:6" ht="23.85" customHeight="1" x14ac:dyDescent="0.3">
      <c r="A35" s="16" t="s">
        <v>146</v>
      </c>
      <c r="B35" s="16" t="s">
        <v>147</v>
      </c>
      <c r="C35" s="16" t="s">
        <v>45</v>
      </c>
      <c r="D35" s="20">
        <v>0</v>
      </c>
      <c r="E35" s="16" t="s">
        <v>173</v>
      </c>
      <c r="F35" s="16" t="s">
        <v>174</v>
      </c>
    </row>
    <row r="36" spans="1:6" ht="23.85" customHeight="1" x14ac:dyDescent="0.3">
      <c r="A36" s="16" t="s">
        <v>146</v>
      </c>
      <c r="B36" s="16" t="s">
        <v>147</v>
      </c>
      <c r="C36" s="16" t="s">
        <v>54</v>
      </c>
      <c r="D36" s="19">
        <v>0.5</v>
      </c>
      <c r="E36" s="16" t="s">
        <v>208</v>
      </c>
      <c r="F36" s="16" t="s">
        <v>200</v>
      </c>
    </row>
    <row r="37" spans="1:6" ht="23.85" customHeight="1" x14ac:dyDescent="0.3">
      <c r="A37" s="16" t="s">
        <v>146</v>
      </c>
      <c r="B37" s="16" t="s">
        <v>147</v>
      </c>
      <c r="C37" s="16" t="s">
        <v>56</v>
      </c>
      <c r="D37" s="19">
        <v>0.5</v>
      </c>
      <c r="E37" s="16" t="s">
        <v>209</v>
      </c>
      <c r="F37" s="16" t="s">
        <v>210</v>
      </c>
    </row>
    <row r="38" spans="1:6" ht="23.85" customHeight="1" x14ac:dyDescent="0.3">
      <c r="A38" s="16" t="s">
        <v>150</v>
      </c>
      <c r="B38" s="16" t="s">
        <v>151</v>
      </c>
      <c r="C38" s="16" t="s">
        <v>45</v>
      </c>
      <c r="D38" s="20">
        <v>0</v>
      </c>
      <c r="E38" s="16" t="s">
        <v>173</v>
      </c>
      <c r="F38" s="16" t="s">
        <v>174</v>
      </c>
    </row>
    <row r="39" spans="1:6" ht="23.85" customHeight="1" x14ac:dyDescent="0.3">
      <c r="A39" s="16" t="s">
        <v>150</v>
      </c>
      <c r="B39" s="16" t="s">
        <v>151</v>
      </c>
      <c r="C39" s="16" t="s">
        <v>54</v>
      </c>
      <c r="D39" s="19">
        <v>1</v>
      </c>
      <c r="E39" s="16" t="s">
        <v>211</v>
      </c>
      <c r="F39" s="16" t="s">
        <v>193</v>
      </c>
    </row>
    <row r="40" spans="1:6" ht="23.85" customHeight="1" x14ac:dyDescent="0.3">
      <c r="A40" s="16" t="s">
        <v>150</v>
      </c>
      <c r="B40" s="16" t="s">
        <v>151</v>
      </c>
      <c r="C40" s="16" t="s">
        <v>56</v>
      </c>
      <c r="D40" s="20">
        <v>0</v>
      </c>
      <c r="E40" s="16" t="s">
        <v>173</v>
      </c>
      <c r="F40" s="16" t="s">
        <v>174</v>
      </c>
    </row>
    <row r="41" spans="1:6" ht="23.85" customHeight="1" x14ac:dyDescent="0.3">
      <c r="A41" s="16" t="s">
        <v>154</v>
      </c>
      <c r="B41" s="16" t="s">
        <v>155</v>
      </c>
      <c r="C41" s="16" t="s">
        <v>45</v>
      </c>
      <c r="D41" s="19">
        <v>1</v>
      </c>
      <c r="E41" s="16" t="s">
        <v>212</v>
      </c>
      <c r="F41" s="16" t="s">
        <v>213</v>
      </c>
    </row>
    <row r="42" spans="1:6" ht="23.85" customHeight="1" x14ac:dyDescent="0.3">
      <c r="A42" s="16" t="s">
        <v>154</v>
      </c>
      <c r="B42" s="16" t="s">
        <v>155</v>
      </c>
      <c r="C42" s="16" t="s">
        <v>54</v>
      </c>
      <c r="D42" s="19">
        <v>1</v>
      </c>
      <c r="E42" s="16" t="s">
        <v>214</v>
      </c>
      <c r="F42" s="16" t="s">
        <v>215</v>
      </c>
    </row>
    <row r="43" spans="1:6" ht="23.85" customHeight="1" x14ac:dyDescent="0.3">
      <c r="A43" s="16" t="s">
        <v>154</v>
      </c>
      <c r="B43" s="16" t="s">
        <v>155</v>
      </c>
      <c r="C43" s="16" t="s">
        <v>56</v>
      </c>
      <c r="D43" s="19">
        <v>0.5</v>
      </c>
      <c r="E43" s="16" t="s">
        <v>216</v>
      </c>
      <c r="F43" s="16" t="s">
        <v>217</v>
      </c>
    </row>
    <row r="44" spans="1:6" ht="23.85" customHeight="1" x14ac:dyDescent="0.3">
      <c r="A44" s="16" t="s">
        <v>160</v>
      </c>
      <c r="B44" s="16" t="s">
        <v>161</v>
      </c>
      <c r="C44" s="16" t="s">
        <v>45</v>
      </c>
      <c r="D44" s="20">
        <v>0</v>
      </c>
      <c r="E44" s="16" t="s">
        <v>173</v>
      </c>
      <c r="F44" s="16" t="s">
        <v>174</v>
      </c>
    </row>
    <row r="45" spans="1:6" ht="23.85" customHeight="1" x14ac:dyDescent="0.3">
      <c r="A45" s="16" t="s">
        <v>160</v>
      </c>
      <c r="B45" s="16" t="s">
        <v>161</v>
      </c>
      <c r="C45" s="16" t="s">
        <v>54</v>
      </c>
      <c r="D45" s="20">
        <v>0</v>
      </c>
      <c r="E45" s="16" t="s">
        <v>173</v>
      </c>
      <c r="F45" s="16" t="s">
        <v>174</v>
      </c>
    </row>
    <row r="46" spans="1:6" ht="23.85" customHeight="1" x14ac:dyDescent="0.3">
      <c r="A46" s="16" t="s">
        <v>160</v>
      </c>
      <c r="B46" s="16" t="s">
        <v>161</v>
      </c>
      <c r="C46" s="16" t="s">
        <v>56</v>
      </c>
      <c r="D46" s="20">
        <v>0</v>
      </c>
      <c r="E46" s="16" t="s">
        <v>173</v>
      </c>
      <c r="F46" s="16" t="s">
        <v>174</v>
      </c>
    </row>
    <row r="48" spans="1:6" ht="15" customHeight="1" x14ac:dyDescent="0.3">
      <c r="A48" s="14" t="s">
        <v>218</v>
      </c>
    </row>
  </sheetData>
  <dataValidations count="1">
    <dataValidation type="list" sqref="D2:D46" xr:uid="{00000000-0002-0000-0400-000000000000}">
      <formula1>"0,0.5,1"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zoomScaleNormal="100" workbookViewId="0"/>
  </sheetViews>
  <sheetFormatPr baseColWidth="10" defaultColWidth="8.6640625" defaultRowHeight="14.4" x14ac:dyDescent="0.3"/>
  <cols>
    <col min="1" max="1" width="16" customWidth="1"/>
    <col min="2" max="2" width="52" customWidth="1"/>
    <col min="3" max="3" width="46" customWidth="1"/>
    <col min="4" max="4" width="16" customWidth="1"/>
    <col min="5" max="5" width="20" customWidth="1"/>
  </cols>
  <sheetData>
    <row r="1" spans="1:5" ht="23.85" customHeight="1" x14ac:dyDescent="0.3">
      <c r="A1" s="8" t="s">
        <v>219</v>
      </c>
      <c r="B1" s="8" t="s">
        <v>220</v>
      </c>
      <c r="C1" s="8" t="s">
        <v>221</v>
      </c>
      <c r="D1" s="8" t="s">
        <v>222</v>
      </c>
      <c r="E1" s="8" t="s">
        <v>223</v>
      </c>
    </row>
    <row r="2" spans="1:5" ht="15" customHeight="1" x14ac:dyDescent="0.3">
      <c r="A2" s="16" t="s">
        <v>224</v>
      </c>
      <c r="B2" s="16" t="s">
        <v>225</v>
      </c>
      <c r="C2" s="16" t="s">
        <v>226</v>
      </c>
      <c r="D2" s="21">
        <v>0.3</v>
      </c>
      <c r="E2" s="22">
        <f>D2*(1-$B$11)</f>
        <v>0.22499999999999998</v>
      </c>
    </row>
    <row r="3" spans="1:5" ht="23.85" customHeight="1" x14ac:dyDescent="0.3">
      <c r="A3" s="16" t="s">
        <v>227</v>
      </c>
      <c r="B3" s="16" t="s">
        <v>228</v>
      </c>
      <c r="C3" s="16" t="s">
        <v>229</v>
      </c>
      <c r="D3" s="21">
        <v>0.2</v>
      </c>
      <c r="E3" s="22">
        <f>D3*(1-$B$11)</f>
        <v>0.15000000000000002</v>
      </c>
    </row>
    <row r="4" spans="1:5" ht="15" customHeight="1" x14ac:dyDescent="0.3">
      <c r="A4" s="16" t="s">
        <v>25</v>
      </c>
      <c r="B4" s="16" t="s">
        <v>230</v>
      </c>
      <c r="C4" s="16" t="s">
        <v>231</v>
      </c>
      <c r="D4" s="21">
        <v>0.15</v>
      </c>
      <c r="E4" s="22">
        <f>D4*(1-$B$11)</f>
        <v>0.11249999999999999</v>
      </c>
    </row>
    <row r="5" spans="1:5" ht="15" customHeight="1" x14ac:dyDescent="0.3">
      <c r="A5" s="16" t="s">
        <v>232</v>
      </c>
      <c r="B5" s="16" t="s">
        <v>233</v>
      </c>
      <c r="C5" s="16" t="s">
        <v>234</v>
      </c>
      <c r="D5" s="21">
        <v>0.17499999999999999</v>
      </c>
      <c r="E5" s="22">
        <f>D5*(1-$B$11)</f>
        <v>0.13124999999999998</v>
      </c>
    </row>
    <row r="6" spans="1:5" ht="15" customHeight="1" x14ac:dyDescent="0.3">
      <c r="A6" s="16" t="s">
        <v>235</v>
      </c>
      <c r="B6" s="16" t="s">
        <v>236</v>
      </c>
      <c r="C6" s="16" t="s">
        <v>237</v>
      </c>
      <c r="D6" s="21">
        <v>0.17499999999999999</v>
      </c>
      <c r="E6" s="22">
        <f>D6*(1-$B$11)</f>
        <v>0.13124999999999998</v>
      </c>
    </row>
    <row r="7" spans="1:5" ht="15" customHeight="1" x14ac:dyDescent="0.3">
      <c r="A7" s="16" t="s">
        <v>238</v>
      </c>
      <c r="B7" s="16" t="s">
        <v>239</v>
      </c>
      <c r="C7" s="16" t="s">
        <v>240</v>
      </c>
      <c r="D7" s="21">
        <v>0</v>
      </c>
      <c r="E7" s="22">
        <f>$B$11</f>
        <v>0.25</v>
      </c>
    </row>
    <row r="8" spans="1:5" ht="15" customHeight="1" x14ac:dyDescent="0.3">
      <c r="A8" s="2" t="s">
        <v>241</v>
      </c>
      <c r="D8" s="23">
        <f>SUM(D2:D7)</f>
        <v>1</v>
      </c>
      <c r="E8" s="23">
        <f>SUM(E2:E7)</f>
        <v>0.99999999999999989</v>
      </c>
    </row>
    <row r="9" spans="1:5" ht="15" customHeight="1" x14ac:dyDescent="0.3">
      <c r="D9" s="2" t="str">
        <f>IF(ABS(D8-1)&lt;0.0001,"OK","Los pesos deben sumar 100%")</f>
        <v>OK</v>
      </c>
      <c r="E9" s="2" t="str">
        <f>IF(ABS(E8-1)&lt;0.0001,"OK","Los pesos deben sumar 100%")</f>
        <v>OK</v>
      </c>
    </row>
    <row r="11" spans="1:5" ht="15" customHeight="1" x14ac:dyDescent="0.3">
      <c r="A11" s="2" t="s">
        <v>242</v>
      </c>
      <c r="B11" s="24">
        <v>0.25</v>
      </c>
    </row>
    <row r="13" spans="1:5" ht="15" customHeight="1" x14ac:dyDescent="0.3">
      <c r="A13" s="2" t="s">
        <v>243</v>
      </c>
      <c r="B13" s="9" t="s">
        <v>244</v>
      </c>
    </row>
    <row r="14" spans="1:5" ht="15" customHeight="1" x14ac:dyDescent="0.3">
      <c r="A14" s="2" t="s">
        <v>245</v>
      </c>
      <c r="B14" s="9" t="s">
        <v>246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9"/>
  <sheetViews>
    <sheetView tabSelected="1" zoomScaleNormal="100" workbookViewId="0">
      <selection activeCell="B2" sqref="B2"/>
    </sheetView>
  </sheetViews>
  <sheetFormatPr baseColWidth="10" defaultColWidth="8.6640625" defaultRowHeight="14.4" x14ac:dyDescent="0.3"/>
  <cols>
    <col min="1" max="1" width="34" customWidth="1"/>
    <col min="2" max="2" width="12" customWidth="1"/>
    <col min="3" max="3" width="14" customWidth="1"/>
    <col min="4" max="4" width="90" customWidth="1"/>
  </cols>
  <sheetData>
    <row r="1" spans="1:4" ht="15" customHeight="1" x14ac:dyDescent="0.3">
      <c r="A1" s="8" t="s">
        <v>247</v>
      </c>
      <c r="B1" s="8" t="s">
        <v>248</v>
      </c>
      <c r="C1" s="8" t="s">
        <v>249</v>
      </c>
      <c r="D1" s="8" t="s">
        <v>250</v>
      </c>
    </row>
    <row r="2" spans="1:4" ht="15" customHeight="1" x14ac:dyDescent="0.3">
      <c r="A2" s="9" t="s">
        <v>251</v>
      </c>
      <c r="B2" s="25">
        <v>5000</v>
      </c>
      <c r="C2" s="26" t="s">
        <v>252</v>
      </c>
      <c r="D2" s="3" t="s">
        <v>253</v>
      </c>
    </row>
    <row r="3" spans="1:4" ht="15" customHeight="1" x14ac:dyDescent="0.3">
      <c r="A3" s="9" t="s">
        <v>254</v>
      </c>
      <c r="B3" s="27">
        <v>0.5</v>
      </c>
      <c r="C3" s="28" t="s">
        <v>255</v>
      </c>
      <c r="D3" s="3" t="s">
        <v>256</v>
      </c>
    </row>
    <row r="4" spans="1:4" ht="15" customHeight="1" x14ac:dyDescent="0.3">
      <c r="A4" s="9" t="s">
        <v>257</v>
      </c>
      <c r="B4" s="27">
        <v>0.5</v>
      </c>
      <c r="C4" s="28" t="s">
        <v>255</v>
      </c>
      <c r="D4" s="3" t="s">
        <v>258</v>
      </c>
    </row>
    <row r="5" spans="1:4" ht="15" customHeight="1" x14ac:dyDescent="0.3">
      <c r="A5" s="9" t="s">
        <v>259</v>
      </c>
      <c r="B5" s="27">
        <v>0.5</v>
      </c>
      <c r="C5" s="28" t="s">
        <v>255</v>
      </c>
      <c r="D5" s="3" t="s">
        <v>260</v>
      </c>
    </row>
    <row r="6" spans="1:4" ht="23.85" customHeight="1" x14ac:dyDescent="0.3">
      <c r="A6" s="9" t="s">
        <v>261</v>
      </c>
      <c r="B6" s="27">
        <v>0.5</v>
      </c>
      <c r="C6" s="28" t="s">
        <v>255</v>
      </c>
      <c r="D6" s="3" t="s">
        <v>262</v>
      </c>
    </row>
    <row r="7" spans="1:4" ht="15" customHeight="1" x14ac:dyDescent="0.3">
      <c r="A7" s="9" t="s">
        <v>263</v>
      </c>
      <c r="B7" s="27">
        <v>3000</v>
      </c>
      <c r="C7" s="28" t="s">
        <v>255</v>
      </c>
      <c r="D7" s="3" t="s">
        <v>264</v>
      </c>
    </row>
    <row r="8" spans="1:4" ht="15" customHeight="1" x14ac:dyDescent="0.3">
      <c r="A8" s="9" t="s">
        <v>265</v>
      </c>
      <c r="B8" s="27">
        <v>7</v>
      </c>
      <c r="C8" s="28" t="s">
        <v>255</v>
      </c>
      <c r="D8" s="3" t="s">
        <v>266</v>
      </c>
    </row>
    <row r="9" spans="1:4" ht="26.4" x14ac:dyDescent="0.3">
      <c r="A9" s="29" t="s">
        <v>267</v>
      </c>
      <c r="B9" s="30" t="s">
        <v>268</v>
      </c>
      <c r="C9" s="31" t="s">
        <v>255</v>
      </c>
      <c r="D9" s="32" t="s">
        <v>269</v>
      </c>
    </row>
  </sheetData>
  <dataValidations count="1">
    <dataValidation type="list" sqref="B9" xr:uid="{00000000-0002-0000-0600-000000000000}">
      <formula1>"A,B,C"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LEEME</vt:lpstr>
      <vt:lpstr>Ficha_dimensiones</vt:lpstr>
      <vt:lpstr>Promedios_regionales</vt:lpstr>
      <vt:lpstr>Medidas</vt:lpstr>
      <vt:lpstr>Evidencia</vt:lpstr>
      <vt:lpstr>Pesos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PATRICK PEREZ YEPES</cp:lastModifiedBy>
  <cp:revision>0</cp:revision>
  <dcterms:created xsi:type="dcterms:W3CDTF">2026-10-07T16:56:12Z</dcterms:created>
  <dcterms:modified xsi:type="dcterms:W3CDTF">2026-10-07T20:27:04Z</dcterms:modified>
  <dc:language>en-US</dc:language>
</cp:coreProperties>
</file>